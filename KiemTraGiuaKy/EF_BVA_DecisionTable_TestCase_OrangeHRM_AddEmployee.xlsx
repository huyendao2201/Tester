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Tester_KTGK\"/>
    </mc:Choice>
  </mc:AlternateContent>
  <xr:revisionPtr revIDLastSave="0" documentId="13_ncr:1_{6F73E2B2-AFB9-47C7-A7C0-C8AC14C2199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EP (Phân vùng tương đương)" sheetId="2" r:id="rId1"/>
    <sheet name="BVA" sheetId="3" r:id="rId2"/>
    <sheet name="Decision Table" sheetId="4" state="hidden" r:id="rId3"/>
    <sheet name="DecisionTable" sheetId="5" r:id="rId4"/>
    <sheet name="TestCase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5" l="1"/>
  <c r="D54" i="5"/>
  <c r="D53" i="5"/>
  <c r="D52" i="5"/>
  <c r="D51" i="5"/>
  <c r="D50" i="5"/>
  <c r="B35" i="5"/>
  <c r="E19" i="1"/>
  <c r="B19" i="1"/>
  <c r="G18" i="1"/>
  <c r="E18" i="1"/>
  <c r="B18" i="1"/>
  <c r="G17" i="1"/>
  <c r="E17" i="1"/>
  <c r="B17" i="1"/>
  <c r="D45" i="4"/>
  <c r="D44" i="4"/>
  <c r="D43" i="4"/>
  <c r="D42" i="4"/>
  <c r="D41" i="4"/>
  <c r="D40" i="4"/>
  <c r="C47" i="4" s="1"/>
  <c r="G21" i="4" s="1"/>
  <c r="B21" i="4"/>
  <c r="C48" i="4" l="1"/>
  <c r="E21" i="4" s="1"/>
</calcChain>
</file>

<file path=xl/sharedStrings.xml><?xml version="1.0" encoding="utf-8"?>
<sst xmlns="http://schemas.openxmlformats.org/spreadsheetml/2006/main" count="1486" uniqueCount="418">
  <si>
    <t>Trường dữ liệu</t>
  </si>
  <si>
    <t>EP# (Phân vùng)</t>
  </si>
  <si>
    <t>Điều kiện</t>
  </si>
  <si>
    <t>Hợp lệ (T/F)</t>
  </si>
  <si>
    <t>Dữ liệu đại diện</t>
  </si>
  <si>
    <t>Kết quả mong đợi</t>
  </si>
  <si>
    <t>Mapping TC</t>
  </si>
  <si>
    <t>First Name</t>
  </si>
  <si>
    <t>Vùng 1</t>
  </si>
  <si>
    <t>Rỗng / Null</t>
  </si>
  <si>
    <t>F</t>
  </si>
  <si>
    <t>(trống)</t>
  </si>
  <si>
    <t>Báo lỗi Required; không lưu</t>
  </si>
  <si>
    <t>PIM-AE-003</t>
  </si>
  <si>
    <t>Vùng 2</t>
  </si>
  <si>
    <t>1–30 ký tự</t>
  </si>
  <si>
    <t>T</t>
  </si>
  <si>
    <t>AAAAAAAAAAAAAAAAAAAAAAAAAAAAAA</t>
  </si>
  <si>
    <t>Lưu thành công</t>
  </si>
  <si>
    <t>PIM-AE-006</t>
  </si>
  <si>
    <t>Vùng 3</t>
  </si>
  <si>
    <t>&gt;30 ký tự</t>
  </si>
  <si>
    <t>AAAAAAAAAAAAAAAAAAAAAAAAAAAAAAA</t>
  </si>
  <si>
    <t>Không cho lưu/báo lỗi độ dài</t>
  </si>
  <si>
    <t>PIM-AE-007</t>
  </si>
  <si>
    <t>Last Name</t>
  </si>
  <si>
    <t>Vùng 4</t>
  </si>
  <si>
    <t>PIM-AE-004</t>
  </si>
  <si>
    <t>Vùng 5</t>
  </si>
  <si>
    <t>NNNNNNNNNNNNNNNNNNNNNNNNNNNNNN</t>
  </si>
  <si>
    <t>PIM-AE-008</t>
  </si>
  <si>
    <t>Vùng 6</t>
  </si>
  <si>
    <t>NNNNNNNNNNNNNNNNNNNNNNNNNNNNNNN</t>
  </si>
  <si>
    <t>PIM-AE-009</t>
  </si>
  <si>
    <t>Middle Name</t>
  </si>
  <si>
    <t>Vùng 7</t>
  </si>
  <si>
    <t>Rỗng (optional)</t>
  </si>
  <si>
    <t>PIM-AE-010</t>
  </si>
  <si>
    <t>Vùng 8</t>
  </si>
  <si>
    <t>Minh</t>
  </si>
  <si>
    <t>PIM-AE-002</t>
  </si>
  <si>
    <t>Vùng 9</t>
  </si>
  <si>
    <t>MMMMMMMMMMMMMMMMMMMMMMMMMMMMMMM</t>
  </si>
  <si>
    <t>PIM-AE-011</t>
  </si>
  <si>
    <t>Employee ID</t>
  </si>
  <si>
    <t>Vùng 10</t>
  </si>
  <si>
    <t>Auto-generated (không chỉnh)</t>
  </si>
  <si>
    <t>Auto</t>
  </si>
  <si>
    <t>Vùng 11</t>
  </si>
  <si>
    <t>Tùy chỉnh ≤10 ký tự &amp; chưa tồn tại</t>
  </si>
  <si>
    <t>1234567890</t>
  </si>
  <si>
    <t>PIM-AE-012</t>
  </si>
  <si>
    <t>Vùng 12</t>
  </si>
  <si>
    <t>&gt;10 ký tự</t>
  </si>
  <si>
    <t>12345678901</t>
  </si>
  <si>
    <t>PIM-AE-013</t>
  </si>
  <si>
    <t>Vùng 13</t>
  </si>
  <si>
    <t>Trùng ID đã tồn tại</t>
  </si>
  <si>
    <t>&lt;ID tồn tại&gt;</t>
  </si>
  <si>
    <t>Không cho lưu/báo lỗi trùng</t>
  </si>
  <si>
    <t>PIM-AE-014</t>
  </si>
  <si>
    <t>Photograph</t>
  </si>
  <si>
    <t>Vùng 14</t>
  </si>
  <si>
    <t>Không upload</t>
  </si>
  <si>
    <t>N/A</t>
  </si>
  <si>
    <t>Vùng 15</t>
  </si>
  <si>
    <t>Upload hợp lệ (.jpg/.png/.gif, &lt;1MB)</t>
  </si>
  <si>
    <t>avatar_900KB.jpg</t>
  </si>
  <si>
    <t>Lưu thành công; ảnh hiển thị</t>
  </si>
  <si>
    <t>PIM-AE-015</t>
  </si>
  <si>
    <t>Vùng 16</t>
  </si>
  <si>
    <t>Sai định dạng file</t>
  </si>
  <si>
    <t>file.pdf</t>
  </si>
  <si>
    <t>Báo lỗi định dạng; không lưu</t>
  </si>
  <si>
    <t>PIM-AE-016</t>
  </si>
  <si>
    <t>Vùng 17</t>
  </si>
  <si>
    <t>File ≥1MB</t>
  </si>
  <si>
    <t>avatar_1.1MB.jpg</t>
  </si>
  <si>
    <t>Báo lỗi dung lượng; không lưu</t>
  </si>
  <si>
    <t>PIM-AE-017</t>
  </si>
  <si>
    <t>Create Login Details</t>
  </si>
  <si>
    <t>Vùng 18</t>
  </si>
  <si>
    <t>OFF</t>
  </si>
  <si>
    <t>Chỉ tạo employee; không tạo user</t>
  </si>
  <si>
    <t>Username</t>
  </si>
  <si>
    <t>Vùng 19</t>
  </si>
  <si>
    <t>Rỗng (khi Create Login=ON)</t>
  </si>
  <si>
    <t>Báo lỗi Required</t>
  </si>
  <si>
    <t>PIM-AE-020</t>
  </si>
  <si>
    <t>Vùng 20</t>
  </si>
  <si>
    <t>&lt;5 ký tự</t>
  </si>
  <si>
    <t>uat1</t>
  </si>
  <si>
    <t>Báo lỗi tối thiểu 5 ký tự</t>
  </si>
  <si>
    <t>PIM-AE-021</t>
  </si>
  <si>
    <t>Vùng 21</t>
  </si>
  <si>
    <t>&gt;=5 ký tự &amp; unique</t>
  </si>
  <si>
    <t>uatuser01</t>
  </si>
  <si>
    <t>Hợp lệ</t>
  </si>
  <si>
    <t>PIM-AE-018</t>
  </si>
  <si>
    <t>Vùng 22</t>
  </si>
  <si>
    <t>Trùng username đã tồn tại</t>
  </si>
  <si>
    <t>Admin</t>
  </si>
  <si>
    <t>Báo lỗi "User already exists"</t>
  </si>
  <si>
    <t>PIM-AE-022</t>
  </si>
  <si>
    <t>Password</t>
  </si>
  <si>
    <t>Vùng 23</t>
  </si>
  <si>
    <t>&lt;8 ký tự</t>
  </si>
  <si>
    <t>Aa1@aaa</t>
  </si>
  <si>
    <t>Báo lỗi password tối thiểu 8 ký tự</t>
  </si>
  <si>
    <t>PIM-AE-023</t>
  </si>
  <si>
    <t>Vùng 24</t>
  </si>
  <si>
    <t>&gt;=8 ký tự &amp; đủ độ mạnh</t>
  </si>
  <si>
    <t>Aa1@aaaa</t>
  </si>
  <si>
    <t>Vùng 25</t>
  </si>
  <si>
    <t>&gt;=8 nhưng thiếu độ mạnh</t>
  </si>
  <si>
    <t>aaaaaaaa</t>
  </si>
  <si>
    <t>Báo lỗi/cảnh báo password yếu</t>
  </si>
  <si>
    <t>PIM-AE-024</t>
  </si>
  <si>
    <t>Confirm Password</t>
  </si>
  <si>
    <t>Vùng 26</t>
  </si>
  <si>
    <t>Khớp Password</t>
  </si>
  <si>
    <t>Không khớp Password</t>
  </si>
  <si>
    <t>Aa1@aaab</t>
  </si>
  <si>
    <t>Báo lỗi mismatch; không lưu</t>
  </si>
  <si>
    <t>PIM-AE-025</t>
  </si>
  <si>
    <t>Field</t>
  </si>
  <si>
    <t>Biên</t>
  </si>
  <si>
    <t>Giá trị</t>
  </si>
  <si>
    <t>Min</t>
  </si>
  <si>
    <t>1 ký tự ('A')</t>
  </si>
  <si>
    <t>PIM-AE-005</t>
  </si>
  <si>
    <t>Max</t>
  </si>
  <si>
    <t>30 ký tự</t>
  </si>
  <si>
    <t>Max+1</t>
  </si>
  <si>
    <t>31 ký tự</t>
  </si>
  <si>
    <t>Không cho lưu/báo lỗi</t>
  </si>
  <si>
    <t>10 ký tự</t>
  </si>
  <si>
    <t>11 ký tự</t>
  </si>
  <si>
    <t>5 ký tự (&gt;=5)</t>
  </si>
  <si>
    <t>Min-1</t>
  </si>
  <si>
    <t>4 ký tự</t>
  </si>
  <si>
    <t>7 ký tự</t>
  </si>
  <si>
    <t>Photograph size</t>
  </si>
  <si>
    <t>Max-ε</t>
  </si>
  <si>
    <t>&lt; 1MB</t>
  </si>
  <si>
    <t>Upload hợp lệ</t>
  </si>
  <si>
    <t>Max / &gt;=1MB</t>
  </si>
  <si>
    <t>&gt;= 1MB</t>
  </si>
  <si>
    <t>Báo lỗi dung lượng</t>
  </si>
  <si>
    <t>Số Rule (R1..Rn)</t>
  </si>
  <si>
    <t>Số TC (Create Login=ON)</t>
  </si>
  <si>
    <t>Số TC (tất cả Rule)</t>
  </si>
  <si>
    <t>Conditions / Rules</t>
  </si>
  <si>
    <t>R1</t>
  </si>
  <si>
    <t>R2</t>
  </si>
  <si>
    <t>R3</t>
  </si>
  <si>
    <t>R4</t>
  </si>
  <si>
    <t>R5</t>
  </si>
  <si>
    <t>R6</t>
  </si>
  <si>
    <t>C1: Create Login Details = ON?</t>
  </si>
  <si>
    <t>C2: Username hợp lệ (&gt;=5, unique, không rỗng)?</t>
  </si>
  <si>
    <t>C3: Password hợp lệ (&gt;=8, đủ độ mạnh)?</t>
  </si>
  <si>
    <t>C4: Confirm Password khớp Password?</t>
  </si>
  <si>
    <t>C5: Status = Enabled?</t>
  </si>
  <si>
    <t>Actions / Rules</t>
  </si>
  <si>
    <t>A1: Lưu employee thành công</t>
  </si>
  <si>
    <t>A2: Tạo user account</t>
  </si>
  <si>
    <t>A3: User Enabled</t>
  </si>
  <si>
    <t>A4: User Disabled</t>
  </si>
  <si>
    <t>A5: Báo lỗi Username</t>
  </si>
  <si>
    <t>A6: Báo lỗi Password</t>
  </si>
  <si>
    <t>A7: Báo lỗi Confirm Password</t>
  </si>
  <si>
    <t>Mapping Rule -&gt; Test Case</t>
  </si>
  <si>
    <t>Rule</t>
  </si>
  <si>
    <t>Test Case ID</t>
  </si>
  <si>
    <t>Số TC từ Rule</t>
  </si>
  <si>
    <t>PIM-AE-019</t>
  </si>
  <si>
    <t>PIM-AE-020 / PIM-AE-021 / PIM-AE-022</t>
  </si>
  <si>
    <t>PIM-AE-023 / PIM-AE-024</t>
  </si>
  <si>
    <t>Tổng số TC từ Decision Table (tất cả Rule)</t>
  </si>
  <si>
    <t>Tổng số TC cho Create Login = ON (R2..R6)</t>
  </si>
  <si>
    <t>Ghi chú: Cột 'Số TC từ Rule' đếm số lần xuất hiện chuỗi 'PIM-AE-' trong ô Test Case ID.</t>
  </si>
  <si>
    <t>UAT_ORANGEHRM</t>
  </si>
  <si>
    <t>Test Case Description</t>
  </si>
  <si>
    <t>Kiểm thử chấp nhận (UAT) hệ thống OrangeHRM</t>
  </si>
  <si>
    <t>Created By</t>
  </si>
  <si>
    <t>Huyen</t>
  </si>
  <si>
    <t>Reviewed By</t>
  </si>
  <si>
    <t>Version</t>
  </si>
  <si>
    <t>QA Tester's Log</t>
  </si>
  <si>
    <t>Tester's Name</t>
  </si>
  <si>
    <t>Dao Thi Thu Huyen</t>
  </si>
  <si>
    <t>Date Tested</t>
  </si>
  <si>
    <t>Test Case (Pass/Fail/Not Executed)</t>
  </si>
  <si>
    <t>Pass</t>
  </si>
  <si>
    <t>S#</t>
  </si>
  <si>
    <t>Prerequisites</t>
  </si>
  <si>
    <t>Test Data Requirement</t>
  </si>
  <si>
    <t>Truy cập được trang demo OrangeHRM: https://opensource-demo.orangehrmlive.com/</t>
  </si>
  <si>
    <t>Chuỗi tên hợp lệ (ví dụ: John/Doe); chuỗi biên: 1 ký tự; 30 ký tự; 31 ký tự (giới hạn theo API)</t>
  </si>
  <si>
    <t>Trình duyệt hỗ trợ JavaScript; kết nối Internet ổn định</t>
  </si>
  <si>
    <t>Employee ID: hợp lệ 1234567890 (10 ký tự), không hợp lệ 12345678901 (11 ký tự)</t>
  </si>
  <si>
    <t>Có tài khoản Admin hợp lệ: Admin / admin123</t>
  </si>
  <si>
    <t>Employee ID đã tồn tại (lấy từ Employee List) để test trùng</t>
  </si>
  <si>
    <t>Tài khoản Admin có quyền truy cập PIM và Add Employee</t>
  </si>
  <si>
    <t>Photograph hợp lệ: avatar_900KB.jpg (&lt;1MB, .jpg); không hợp lệ: file.pdf; avatar_1.1MB.jpg (≥1MB)</t>
  </si>
  <si>
    <t>Trong hệ thống đã có ít nhất 01 nhân viên để lấy Employee ID/Username mẫu cho test trùng</t>
  </si>
  <si>
    <t>Username hợp lệ (&gt;=5 ký tự): uatuser01; Username &lt;5 ký tự: uat1; Username trùng: Admin</t>
  </si>
  <si>
    <t>Password hợp lệ: Aa1@aaaa (&gt;=8, đủ loại ký tự); Password &lt;8: Aa1@aaa; Password yếu: aaaaaaaa; Confirm mismatch: Aa1@aaab</t>
  </si>
  <si>
    <t>Status user: Enabled/Disabled (khi Create Login Details = ON)</t>
  </si>
  <si>
    <t>TỔNG HỢP SỐ LƯỢNG TEST CASE</t>
  </si>
  <si>
    <t>Tổng số TC</t>
  </si>
  <si>
    <t>Fail</t>
  </si>
  <si>
    <t>Not executed</t>
  </si>
  <si>
    <t>Suspended</t>
  </si>
  <si>
    <t>Tỷ lệ Pass</t>
  </si>
  <si>
    <t>Đã thực thi</t>
  </si>
  <si>
    <t>Test Coverage</t>
  </si>
  <si>
    <t>Ghi chú</t>
  </si>
  <si>
    <t>Tính dựa trên cột Trạng thái (G)</t>
  </si>
  <si>
    <t>Mô tả</t>
  </si>
  <si>
    <t>Dữ liệu đầu vào</t>
  </si>
  <si>
    <t>Các bước thực hiện</t>
  </si>
  <si>
    <t>Kết quả thực tế</t>
  </si>
  <si>
    <t>Trạng thái (Pass / Fail / Not executed / Suspended)</t>
  </si>
  <si>
    <t>MODULE: PIM (PERSONAL INFORMATION MANAGEMENT) - ADD EMPLOYEE</t>
  </si>
  <si>
    <t>PIM-AE-001</t>
  </si>
  <si>
    <t>Truy cập PIM &gt; Add Employee và kiểm tra hiển thị form/field đúng</t>
  </si>
  <si>
    <t>Admin/admin123</t>
  </si>
  <si>
    <t>1. Mở trình duyệt
2. Truy cập https://opensource-demo.orangehrmlive.com/
3. Nhập Username = Admin
4. Nhập Password = admin123
5. Nhấn Login
6. Click menu PIM trên sidebar
7. Chọn Add Employee
8. Quan sát các field: First Name, Middle Name, Last Name, Employee ID, Photograph, Create Login Details</t>
  </si>
  <si>
    <t>Form Add Employee hiển thị đúng các field theo mô tả; Employee ID được sinh tự động; Photograph cho phép chọn file; Create Login Details có thể bật/tắt.</t>
  </si>
  <si>
    <t>Đạt: Form Add Employee hiển thị đúng các field theo mô tả; Employee ID được sinh tự động; Photograph cho phép chọn file; Create Login Details có thể bật/tắt.</t>
  </si>
  <si>
    <t>Thêm nhân viên với First Name + Last Name hợp lệ (không tạo Login, không upload ảnh) – Positive baseline</t>
  </si>
  <si>
    <t>First Name: John; Last Name: Doe; Employee ID: Auto</t>
  </si>
  <si>
    <t>1. Mở trình duyệt
2. Truy cập https://opensource-demo.orangehrmlive.com/
3. Nhập Username = Admin
4. Nhập Password = admin123
5. Nhấn Login
6. Click menu PIM trên sidebar
7. Chọn Add Employee
8. Nhập First Name = John
9. Nhập Last Name = Doe
10. Giữ Employee ID mặc định (auto)
11. Không bật Create Login Details
12. Nhấn Save</t>
  </si>
  <si>
    <t>Thêm nhân viên thành công; chuyển sang trang hồ sơ nhân viên mới; không tạo tài khoản đăng nhập.</t>
  </si>
  <si>
    <t>Đạt: Thêm nhân viên thành công; chuyển sang trang hồ sơ nhân viên mới; không tạo tài khoản đăng nhập.</t>
  </si>
  <si>
    <t>Validate: để trống First Name và nhấn Save</t>
  </si>
  <si>
    <t>First Name: (trống); Last Name: Doe</t>
  </si>
  <si>
    <t>1. Mở trình duyệt
2. Truy cập https://opensource-demo.orangehrmlive.com/
3. Nhập Username = Admin
4. Nhập Password = admin123
5. Nhấn Login
6. Click menu PIM trên sidebar
7. Chọn Add Employee
8. Để trống First Name
9. Nhập Last Name = Doe
10. Nhấn Save</t>
  </si>
  <si>
    <t>Hiển thị validate bắt buộc cho First Name ("Required"); không tạo nhân viên.</t>
  </si>
  <si>
    <t>Đạt: Hiển thị validate bắt buộc cho First Name ("Required"); không tạo nhân viên.</t>
  </si>
  <si>
    <t>Validate: để trống Last Name và nhấn Save</t>
  </si>
  <si>
    <t>First Name: John; Last Name: (trống)</t>
  </si>
  <si>
    <t>1. Mở trình duyệt
2. Truy cập https://opensource-demo.orangehrmlive.com/
3. Nhập Username = Admin
4. Nhập Password = admin123
5. Nhấn Login
6. Click menu PIM trên sidebar
7. Chọn Add Employee
8. Nhập First Name = John
9. Để trống Last Name
10. Nhấn Save</t>
  </si>
  <si>
    <t>Hiển thị validate bắt buộc cho Last Name ("Required"); không tạo nhân viên.</t>
  </si>
  <si>
    <t>Đạt: Hiển thị validate bắt buộc cho Last Name ("Required"); không tạo nhân viên.</t>
  </si>
  <si>
    <t>BVA First Name = 1 ký tự (Min hợp lệ)</t>
  </si>
  <si>
    <t>First Name: A; Last Name: Doe</t>
  </si>
  <si>
    <t>1. Mở trình duyệt
2. Truy cập https://opensource-demo.orangehrmlive.com/
3. Nhập Username = Admin
4. Nhập Password = admin123
5. Nhấn Login
6. Click menu PIM trên sidebar
7. Chọn Add Employee
8. Nhập First Name = A
9. Nhập Last Name = Doe
10. Nhấn Save</t>
  </si>
  <si>
    <t>Lưu thành công (nếu hệ thống cho phép độ dài tối thiểu 1 ký tự).</t>
  </si>
  <si>
    <t>Đạt: Lưu thành công (nếu hệ thống cho phép độ dài tối thiểu 1 ký tự).</t>
  </si>
  <si>
    <t>BVA First Name = 30 ký tự (Max hợp lệ)</t>
  </si>
  <si>
    <t>First Name: AAAAAAAAAAAAAAAAAAAAAAAAAAAAAA; Last Name: Doe</t>
  </si>
  <si>
    <t>1. Mở trình duyệt
2. Truy cập https://opensource-demo.orangehrmlive.com/
3. Nhập Username = Admin
4. Nhập Password = admin123
5. Nhấn Login
6. Click menu PIM trên sidebar
7. Chọn Add Employee
8. Nhập First Name = AAAAAAAAAAAAAAAAAAAAAAAAAAAAAA
9. Nhập Last Name = Doe
10. Nhấn Save</t>
  </si>
  <si>
    <t>Lưu thành công với First Name 30 ký tự.</t>
  </si>
  <si>
    <t>Đạt: Lưu thành công với First Name 30 ký tự.</t>
  </si>
  <si>
    <t>BVA First Name = 31 ký tự (Vượt Max) – Negative</t>
  </si>
  <si>
    <t>First Name: AAAAAAAAAAAAAAAAAAAAAAAAAAAAAAA; Last Name: Doe</t>
  </si>
  <si>
    <t>1. Mở trình duyệt
2. Truy cập https://opensource-demo.orangehrmlive.com/
3. Nhập Username = Admin
4. Nhập Password = admin123
5. Nhấn Login
6. Click menu PIM trên sidebar
7. Chọn Add Employee
8. Nhập First Name = AAAAAAAAAAAAAAAAAAAAAAAAAAAAAAA
9. Nhập Last Name = Doe
10. Nhấn Save</t>
  </si>
  <si>
    <t>Không cho lưu; hệ thống chặn nhập &gt;30 ký tự hoặc hiển thị lỗi độ dài.</t>
  </si>
  <si>
    <t>Đạt: Không cho lưu; hệ thống chặn nhập &gt;30 ký tự hoặc hiển thị lỗi độ dài.</t>
  </si>
  <si>
    <t>BVA Last Name = 30 ký tự (Max hợp lệ)</t>
  </si>
  <si>
    <t>First Name: John; Last Name: NNNNNNNNNNNNNNNNNNNNNNNNNNNNNN</t>
  </si>
  <si>
    <t>1. Mở trình duyệt
2. Truy cập https://opensource-demo.orangehrmlive.com/
3. Nhập Username = Admin
4. Nhập Password = admin123
5. Nhấn Login
6. Click menu PIM trên sidebar
7. Chọn Add Employee
8. Nhập First Name = John
9. Nhập Last Name = NNNNNNNNNNNNNNNNNNNNNNNNNNNNNN
10. Nhấn Save</t>
  </si>
  <si>
    <t>Lưu thành công với Last Name 30 ký tự.</t>
  </si>
  <si>
    <t>Đạt: Lưu thành công với Last Name 30 ký tự.</t>
  </si>
  <si>
    <t>BVA Last Name = 31 ký tự (Vượt Max) – Negative</t>
  </si>
  <si>
    <t>First Name: John; Last Name: NNNNNNNNNNNNNNNNNNNNNNNNNNNNNNN</t>
  </si>
  <si>
    <t>1. Mở trình duyệt
2. Truy cập https://opensource-demo.orangehrmlive.com/
3. Nhập Username = Admin
4. Nhập Password = admin123
5. Nhấn Login
6. Click menu PIM trên sidebar
7. Chọn Add Employee
8. Nhập First Name = John
9. Nhập Last Name = NNNNNNNNNNNNNNNNNNNNNNNNNNNNNNN
10. Nhấn Save</t>
  </si>
  <si>
    <t>EP Middle Name: để trống Middle Name (optional) và lưu</t>
  </si>
  <si>
    <t>First Name: John; Middle Name: (trống); Last Name: Doe</t>
  </si>
  <si>
    <t>1. Mở trình duyệt
2. Truy cập https://opensource-demo.orangehrmlive.com/
3. Nhập Username = Admin
4. Nhập Password = admin123
5. Nhấn Login
6. Click menu PIM trên sidebar
7. Chọn Add Employee
8. Nhập First Name = John
9. Để trống Middle Name
10. Nhập Last Name = Doe
11. Nhấn Save</t>
  </si>
  <si>
    <t>Lưu thành công; Middle Name có thể để trống.</t>
  </si>
  <si>
    <t>Đạt: Lưu thành công; Middle Name có thể để trống.</t>
  </si>
  <si>
    <t>BVA Middle Name = 31 ký tự (Vượt Max) – Negative</t>
  </si>
  <si>
    <t>First Name: John; Middle Name: MMMMMMMMMMMMMMMMMMMMMMMMMMMMMMM; Last Name: Doe</t>
  </si>
  <si>
    <t>1. Mở trình duyệt
2. Truy cập https://opensource-demo.orangehrmlive.com/
3. Nhập Username = Admin
4. Nhập Password = admin123
5. Nhấn Login
6. Click menu PIM trên sidebar
7. Chọn Add Employee
8. Nhập First Name = John
9. Nhập Middle Name = MMMMMMMMMMMMMMMMMMMMMMMMMMMMMMM
10. Nhập Last Name = Doe
11. Nhấn Save</t>
  </si>
  <si>
    <t>Employee ID: thay đổi Employee ID sang giá trị hợp lệ (≤10 ký tự) và lưu</t>
  </si>
  <si>
    <t>Employee ID: 1234567890; First Name: John; Last Name: Doe</t>
  </si>
  <si>
    <t>1. Mở trình duyệt
2. Truy cập https://opensource-demo.orangehrmlive.com/
3. Nhập Username = Admin
4. Nhập Password = admin123
5. Nhấn Login
6. Click menu PIM trên sidebar
7. Chọn Add Employee
8. Nhập First Name = John
9. Nhập Last Name = Doe
10. Sửa Employee ID = 1234567890
11. Nhấn Save</t>
  </si>
  <si>
    <t>Lưu thành công; Employee ID được cập nhật theo giá trị nhập.</t>
  </si>
  <si>
    <t>Đạt: Lưu thành công; Employee ID được cập nhật theo giá trị nhập.</t>
  </si>
  <si>
    <t>BVA Employee ID = 11 ký tự (vượt Max 10) – Negative</t>
  </si>
  <si>
    <t>Employee ID: 12345678901; First Name: John; Last Name: Doe</t>
  </si>
  <si>
    <t>1. Mở trình duyệt
2. Truy cập https://opensource-demo.orangehrmlive.com/
3. Nhập Username = Admin
4. Nhập Password = admin123
5. Nhấn Login
6. Click menu PIM trên sidebar
7. Chọn Add Employee
8. Nhập First Name = John
9. Nhập Last Name = Doe
10. Sửa Employee ID = 12345678901
11. Nhấn Save</t>
  </si>
  <si>
    <t>Không cho lưu; hiển thị lỗi độ dài Employee ID hoặc chặn nhập vượt giới hạn.</t>
  </si>
  <si>
    <t>Đạt: Không cho lưu; hiển thị lỗi độ dài Employee ID hoặc chặn nhập vượt giới hạn.</t>
  </si>
  <si>
    <t>Employee ID: không cho phép trùng Employee ID đã tồn tại – Negative</t>
  </si>
  <si>
    <t>Employee ID: (lấy 1 ID đã tồn tại trong Employee List)</t>
  </si>
  <si>
    <t>1. Mở trình duyệt
2. Truy cập https://opensource-demo.orangehrmlive.com/
3. Nhập Username = Admin
4. Nhập Password = admin123
5. Nhấn Login
6. Click menu PIM trên sidebar
7. Chọn Add Employee
8. Nhập First Name = John
9. Nhập Last Name = Doe
10. Sửa Employee ID = &lt;ID đã tồn tại&gt;
11. Nhấn Save</t>
  </si>
  <si>
    <t>Không cho lưu; hiển thị lỗi Employee ID đã tồn tại/không hợp lệ.</t>
  </si>
  <si>
    <t>Đạt: Không cho lưu; hiển thị lỗi Employee ID đã tồn tại/không hợp lệ.</t>
  </si>
  <si>
    <t>Upload Photograph hợp lệ (.jpg/.png/.gif, &lt;1MB) và lưu</t>
  </si>
  <si>
    <t>Photograph: avatar_900KB.jpg; First Name: John; Last Name: Doe</t>
  </si>
  <si>
    <t>1. Mở trình duyệt
2. Truy cập https://opensource-demo.orangehrmlive.com/
3. Nhập Username = Admin
4. Nhập Password = admin123
5. Nhấn Login
6. Click menu PIM trên sidebar
7. Chọn Add Employee
8. Nhập First Name = John
9. Nhập Last Name = Doe
10. Upload file avatar_900KB.jpg (&lt;1MB, .jpg)
11. Nhấn Save</t>
  </si>
  <si>
    <t>Upload ảnh thành công và thêm nhân viên thành công; ảnh hiển thị trong hồ sơ nhân viên.</t>
  </si>
  <si>
    <t>Đạt: Upload ảnh thành công và thêm nhân viên thành công; ảnh hiển thị trong hồ sơ nhân viên.</t>
  </si>
  <si>
    <t>Upload Photograph sai định dạng file (ví dụ .pdf) – Negative</t>
  </si>
  <si>
    <t>Photograph: file.pdf</t>
  </si>
  <si>
    <t>1. Mở trình duyệt
2. Truy cập https://opensource-demo.orangehrmlive.com/
3. Nhập Username = Admin
4. Nhập Password = admin123
5. Nhấn Login
6. Click menu PIM trên sidebar
7. Chọn Add Employee
8. Nhập First Name = John
9. Nhập Last Name = Doe
10. Upload file file.pdf
11. Nhấn Save</t>
  </si>
  <si>
    <t>Hệ thống không chấp nhận file; hiển thị thông báo chỉ nhận .jpg/.png/.gif; không lưu.</t>
  </si>
  <si>
    <t>Đạt: Hệ thống không chấp nhận file; hiển thị thông báo chỉ nhận .jpg/.png/.gif; không lưu.</t>
  </si>
  <si>
    <t>Upload Photograph vượt dung lượng (≥1MB) – Negative</t>
  </si>
  <si>
    <t>Photograph: avatar_1.1MB.jpg</t>
  </si>
  <si>
    <t>1. Mở trình duyệt
2. Truy cập https://opensource-demo.orangehrmlive.com/
3. Nhập Username = Admin
4. Nhập Password = admin123
5. Nhấn Login
6. Click menu PIM trên sidebar
7. Chọn Add Employee
8. Nhập First Name = John
9. Nhập Last Name = Doe
10. Upload file avatar_1.1MB.jpg (≥1MB)
11. Nhấn Save</t>
  </si>
  <si>
    <t>Hệ thống không chấp nhận file ≥1MB; hiển thị thông báo dung lượng; không lưu.</t>
  </si>
  <si>
    <t>Đạt: Hệ thống không chấp nhận file ≥1MB; hiển thị thông báo dung lượng; không lưu.</t>
  </si>
  <si>
    <t>Create Login Details = ON: tạo user Enabled với dữ liệu hợp lệ – Positive</t>
  </si>
  <si>
    <t>1. Mở trình duyệt
2. Truy cập https://opensource-demo.orangehrmlive.com/
3. Nhập Username = Admin
4. Nhập Password = admin123
5. Nhấn Login
6. Click menu PIM trên sidebar
7. Chọn Add Employee
8. Nhập First Name = John
9. Nhập Last Name = Doe
10. Bật Create Login Details
11. Nhập Username
12. Nhập Password
13. Nhập Confirm Password (giống Password)
14. Chọn Status = Enabled
15. Nhấn Save</t>
  </si>
  <si>
    <t>Thêm nhân viên thành công; tạo tài khoản user cho nhân viên; user có thể đăng nhập (Enabled).</t>
  </si>
  <si>
    <t>Đạt: Thêm nhân viên thành công; tạo tài khoản user cho nhân viên; user có thể đăng nhập (Enabled).</t>
  </si>
  <si>
    <t>Create Login Details = ON: tạo user Disabled – Positive</t>
  </si>
  <si>
    <t>Username: uatuser0102; Password: Aa1@aaaa; Status: Disabled</t>
  </si>
  <si>
    <t>1. Mở trình duyệt
2. Truy cập https://opensource-demo.orangehrmlive.com/
3. Nhập Username = Admin
4. Nhập Password = admin123
5. Nhấn Login
6. Click menu PIM trên sidebar
7. Chọn Add Employee
8. Nhập First Name = John
9. Nhập Last Name = Doe
10. Bật Create Login Details
11. Nhập Username = uatuser02
12. Nhập Password
13. Nhập Confirm Password (giống Password)
14. Chọn Status = Disabled
15. Nhấn Save
16. Logout
17. Thử login với uatuser02</t>
  </si>
  <si>
    <t>Thêm nhân viên &amp; user thành công; user ở trạng thái Disabled và không đăng nhập được.</t>
  </si>
  <si>
    <t>Đạt: Thêm nhân viên &amp; user thành công; user ở trạng thái Disabled và không đăng nhập được.</t>
  </si>
  <si>
    <t>Create Login Details = ON: Username để trống – Negative</t>
  </si>
  <si>
    <t>Username: (trống); Password hợp lệ</t>
  </si>
  <si>
    <t>1. Mở trình duyệt
2. Truy cập https://opensource-demo.orangehrmlive.com/
3. Nhập Username = Admin
4. Nhập Password = admin123
5. Nhấn Login
6. Click menu PIM trên sidebar
7. Chọn Add Employee
8. Nhập First Name = John
9. Nhập Last Name = Doe
10. Bật Create Login Details
11. Để trống Username
12. Nhập Password = Aa1@aaaa
13. Nhập Confirm Password = Aa1@aaaa
14. Status = Enabled
15. Nhấn Save</t>
  </si>
  <si>
    <t>Hiển thị validate bắt buộc cho Username ("Required"); không lưu.</t>
  </si>
  <si>
    <t>Đạt: Hiển thị validate bắt buộc cho Username ("Required"); không lưu.</t>
  </si>
  <si>
    <t>BVA Username = 4 ký tự (&lt;5) – Negative</t>
  </si>
  <si>
    <t>Username: uat1; Password hợp lệ</t>
  </si>
  <si>
    <t>1. Mở trình duyệt
2. Truy cập https://opensource-demo.orangehrmlive.com/
3. Nhập Username = Admin
4. Nhập Password = admin123
5. Nhấn Login
6. Click menu PIM trên sidebar
7. Chọn Add Employee
8. Nhập First Name = John
9. Nhập Last Name = Doe
10. Bật Create Login Details
11. Nhập Username = uat1
12. Nhập Password = Aa1@aaaa
13. Nhập Confirm Password = Aa1@aaaa
14. Status = Enabled
15. Nhấn Save</t>
  </si>
  <si>
    <t>Không cho lưu; hiển thị lỗi Username tối thiểu 5 ký tự (ví dụ: "Should have at least 5 characters").</t>
  </si>
  <si>
    <t>Đạt: Không cho lưu; hiển thị lỗi Username tối thiểu 5 ký tự (ví dụ: "Should have at least 5 characters").</t>
  </si>
  <si>
    <t>Username trùng (User already exists) – Negative</t>
  </si>
  <si>
    <t>Username: Admin</t>
  </si>
  <si>
    <t>1. Mở trình duyệt
2. Truy cập https://opensource-demo.orangehrmlive.com/
3. Nhập Username = Admin
4. Nhập Password = admin123
5. Nhấn Login
6. Click menu PIM trên sidebar
7. Chọn Add Employee
8. Nhập First Name = John
9. Nhập Last Name = Doe
10. Bật Create Login Details
11. Nhập Username = Admin
12. Nhập Password = Aa1@aaaa
13. Nhập Confirm Password = Aa1@aaaa
14. Status = Enabled
15. Nhấn Save</t>
  </si>
  <si>
    <t>Không cho lưu; hiển thị lỗi "User already exists".</t>
  </si>
  <si>
    <t>Đạt: Không cho lưu; hiển thị lỗi "User already exists".</t>
  </si>
  <si>
    <t>1. Mở trình duyệt
2. Truy cập https://opensource-demo.orangehrmlive.com/
3. Nhập Username = Admin
4. Nhập Password = admin123
5. Nhấn Login
6. Click menu PIM trên sidebar
7. Chọn Add Employee
8. Nhập First Name = John
9. Nhập Last Name = Doe
10. Bật Create Login Details
11. Nhập Username = uatuser03
12. Nhập Password = Aa1@aaa
13. Nhập Confirm Password = Aa1@aaa
14. Status = Enabled
15. Nhấn Save</t>
  </si>
  <si>
    <t>Password không đạt độ mạnh (thiếu uppercase/number/special) – Negative</t>
  </si>
  <si>
    <t>Username: uatuser04; Password: aaaaaaaa</t>
  </si>
  <si>
    <t>1. Mở trình duyệt
2. Truy cập https://opensource-demo.orangehrmlive.com/
3. Nhập Username = Admin
4. Nhập Password = admin123
5. Nhấn Login
6. Click menu PIM trên sidebar
7. Chọn Add Employee
8. Nhập First Name = John
9. Nhập Last Name = Doe
10. Bật Create Login Details
11. Nhập Username = uatuser04
12. Nhập Password = aaaaaaaa
13. Nhập Confirm Password = aaaaaaaa
14. Status = Enabled
15. Nhấn Save</t>
  </si>
  <si>
    <t>Không cho lưu hoặc hiển thị cảnh báo password không đủ mạnh theo policy; yêu cầu có chữ hoa, chữ thường, số và ký tự đặc biệt.</t>
  </si>
  <si>
    <t>Đạt: Không cho lưu hoặc hiển thị cảnh báo password không đủ mạnh theo policy; yêu cầu có chữ hoa, chữ thường, số và ký tự đặc biệt.</t>
  </si>
  <si>
    <t>Confirm Password mismatch – Negative</t>
  </si>
  <si>
    <t>Username: uatuser05; Password: Aa1@aaaa; Confirm: Aa1@aaab</t>
  </si>
  <si>
    <t>1. Mở trình duyệt
2. Truy cập https://opensource-demo.orangehrmlive.com/
3. Nhập Username = Admin
4. Nhập Password = admin123
5. Nhấn Login
6. Click menu PIM trên sidebar
7. Chọn Add Employee
8. Nhập First Name = John
9. Nhập Last Name = Doe
10. Bật Create Login Details
11. Nhập Username = uatuser05
12. Nhập Password = Aa1@aaaa
13. Nhập Confirm Password = Aa1@aaab
14. Status = Enabled
15. Nhấn Save</t>
  </si>
  <si>
    <t>Không cho lưu; hiển thị lỗi Confirm Password không khớp Password.</t>
  </si>
  <si>
    <t>Đạt: Không cho lưu; hiển thị lỗi Confirm Password không khớp Password.</t>
  </si>
  <si>
    <t>TỔNG SỐ TEST CASE (Add Employee): 25</t>
  </si>
  <si>
    <t>BẢNG QUYẾT ĐỊNH ĐẦY ĐỦ – CREATE LOGIN DETAILS (PIM &gt; Add Employee)</t>
  </si>
  <si>
    <t>Số điều kiện</t>
  </si>
  <si>
    <t>Số rule đầy đủ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</si>
  <si>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</si>
  <si>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</si>
  <si>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</si>
  <si>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</si>
  <si>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</si>
  <si>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</si>
  <si>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</si>
  <si>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</si>
  <si>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</si>
  <si>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</si>
  <si>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</si>
  <si>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</si>
  <si>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</si>
  <si>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</si>
  <si>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</si>
  <si>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</si>
  <si>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</si>
  <si>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</si>
  <si>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</si>
  <si>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</si>
  <si>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</si>
  <si>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</si>
  <si>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</si>
  <si>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</si>
  <si>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</si>
  <si>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</si>
  <si>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BẢNG QUYẾT ĐỊNH RÚT GỌN – CREATE LOGIN DETAILS (PIM &gt; Add Employee)</t>
  </si>
  <si>
    <t xml:space="preserve">Gộp 3 cột báo lỗi lại </t>
  </si>
  <si>
    <t>C2: Username hợp lệ?</t>
  </si>
  <si>
    <t>C3: Password hợp lệ?</t>
  </si>
  <si>
    <t>BẢNG GOM NHÓM RULE ĐẦY ĐỦ → RULE RÚT GỌN</t>
  </si>
  <si>
    <t>Nhóm màu</t>
  </si>
  <si>
    <t>Rule đầy đủ</t>
  </si>
  <si>
    <t>Hành vi hệ thống</t>
  </si>
  <si>
    <t>R1 – R16</t>
  </si>
  <si>
    <t>Create Login = OFF → chỉ lưu employee, không tạo user</t>
  </si>
  <si>
    <t>R17 – R24</t>
  </si>
  <si>
    <t>Username invalid → báo lỗi Username</t>
  </si>
  <si>
    <t>R25 – R28</t>
  </si>
  <si>
    <t>Password invalid → báo lỗi Password</t>
  </si>
  <si>
    <t>R29 – R30</t>
  </si>
  <si>
    <t>Confirm mismatch → báo lỗi Confirm Password</t>
  </si>
  <si>
    <t>Tạo user thành công, trạng thái Disabled</t>
  </si>
  <si>
    <t>Tạo user thành công, trạng thái Enabled</t>
  </si>
  <si>
    <t>First Name hợp lệ</t>
  </si>
  <si>
    <t>Last Name hợp lệ</t>
  </si>
  <si>
    <t>Người dùng đang ở màn hình Add Employee</t>
  </si>
  <si>
    <t>Bảng quyết định cho nhánh Create Login Details trong chức năng PIM &gt; Add Employee</t>
  </si>
  <si>
    <t>X</t>
  </si>
  <si>
    <t>-</t>
  </si>
  <si>
    <t>C4: Confirm Password khớp?</t>
  </si>
  <si>
    <t>A5: Hiển thị lỗi</t>
  </si>
  <si>
    <t xml:space="preserve"> Create Login = OFF → Chỉ lưu employee, không tạo user</t>
  </si>
  <si>
    <t>Username invalid → Báo lỗi Username</t>
  </si>
  <si>
    <t>Password invalid → Báo lỗi Password</t>
  </si>
  <si>
    <t>Confirm mismatch → Báo lỗi Confirm Password</t>
  </si>
  <si>
    <t>A2: Tạo user account thành công</t>
  </si>
  <si>
    <t>Các hành động của hệ thống</t>
  </si>
  <si>
    <t>A1 : Lưu employee thành công
A2 : Tạo user account thành công
A3 : User Enabled
A4 : User Disabled
A5 : Hiển thị lỗi</t>
  </si>
  <si>
    <t>Tính số rule</t>
  </si>
  <si>
    <t>Do có 5 điều kiện đầu vào nên 2^5 = 32 rule</t>
  </si>
  <si>
    <t>Các điều kiện</t>
  </si>
  <si>
    <t>C1  : Create Login Details = ON?
C2 : Username hợp lệ?
C3 : Password hợp lệ?
C4 : Confirm Password khớp Password?
C5 : Status = Enabled?</t>
  </si>
  <si>
    <t>6 ký tự</t>
  </si>
  <si>
    <t>Báo lỗi tối thiểu 7 ký tự</t>
  </si>
  <si>
    <t>Username: uatuser01; Password: Aa1@aaa; Status: Enabled</t>
  </si>
  <si>
    <t>BVA Password = 6 ký tự (&lt;7) – Negative</t>
  </si>
  <si>
    <t>Username: uatuser03; Password: Aa1@aa</t>
  </si>
  <si>
    <t>Không cho lưu; hiển thị lỗi password tối thiểu 7 ký tự/không đạt policy.</t>
  </si>
  <si>
    <t>Đạt: Không cho lưu; hiển thị lỗi password tối thiểu 7 ký tự/không đạt policy.</t>
  </si>
  <si>
    <t>Vùng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</si>
</sst>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EAD3"/>
      </patternFill>
    </fill>
    <fill>
      <patternFill patternType="solid">
        <fgColor rgb="FFD9E2F3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D0E0E3"/>
      </patternFill>
    </fill>
    <fill>
      <patternFill patternType="solid">
        <fgColor rgb="FFBDD7EE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444444"/>
      </left>
      <right/>
      <top style="thin">
        <color rgb="FF444444"/>
      </top>
      <bottom style="thin">
        <color rgb="FF44444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444444"/>
      </left>
      <right style="thin">
        <color indexed="64"/>
      </right>
      <top style="thin">
        <color rgb="FF444444"/>
      </top>
      <bottom style="thin">
        <color rgb="FF44444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indexed="64"/>
      </bottom>
      <diagonal/>
    </border>
    <border>
      <left style="thin">
        <color rgb="FF444444"/>
      </left>
      <right style="thin">
        <color indexed="64"/>
      </right>
      <top style="thin">
        <color rgb="FF44444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2" borderId="2" xfId="0" applyFont="1" applyFill="1" applyBorder="1"/>
    <xf numFmtId="0" fontId="1" fillId="0" borderId="3" xfId="0" applyFont="1" applyBorder="1"/>
    <xf numFmtId="0" fontId="1" fillId="2" borderId="4" xfId="0" applyFont="1" applyFill="1" applyBorder="1"/>
    <xf numFmtId="0" fontId="1" fillId="0" borderId="5" xfId="0" applyFont="1" applyBorder="1"/>
    <xf numFmtId="0" fontId="1" fillId="0" borderId="0" xfId="0" applyFont="1"/>
    <xf numFmtId="0" fontId="1" fillId="0" borderId="6" xfId="0" applyFont="1" applyBorder="1"/>
    <xf numFmtId="14" fontId="1" fillId="0" borderId="1" xfId="0" applyNumberFormat="1" applyFont="1" applyBorder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/>
    <xf numFmtId="0" fontId="4" fillId="4" borderId="14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1" fillId="0" borderId="16" xfId="0" applyFont="1" applyBorder="1" applyAlignment="1">
      <alignment horizontal="center" vertical="center" wrapText="1"/>
    </xf>
    <xf numFmtId="9" fontId="1" fillId="0" borderId="16" xfId="0" applyNumberFormat="1" applyFont="1" applyBorder="1"/>
    <xf numFmtId="0" fontId="4" fillId="4" borderId="16" xfId="0" applyFont="1" applyFill="1" applyBorder="1" applyAlignment="1">
      <alignment horizontal="left" vertical="center" wrapText="1"/>
    </xf>
    <xf numFmtId="0" fontId="4" fillId="4" borderId="17" xfId="0" applyFont="1" applyFill="1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 wrapText="1"/>
    </xf>
    <xf numFmtId="9" fontId="1" fillId="0" borderId="18" xfId="0" applyNumberFormat="1" applyFont="1" applyBorder="1"/>
    <xf numFmtId="0" fontId="4" fillId="4" borderId="18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vertical="top" wrapText="1"/>
    </xf>
    <xf numFmtId="0" fontId="2" fillId="0" borderId="19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22" xfId="0" applyFont="1" applyBorder="1" applyAlignment="1">
      <alignment vertical="top" wrapText="1"/>
    </xf>
    <xf numFmtId="0" fontId="1" fillId="0" borderId="23" xfId="0" applyFont="1" applyBorder="1"/>
    <xf numFmtId="0" fontId="1" fillId="2" borderId="5" xfId="0" applyFont="1" applyFill="1" applyBorder="1"/>
    <xf numFmtId="0" fontId="1" fillId="0" borderId="24" xfId="0" applyFont="1" applyBorder="1" applyAlignment="1">
      <alignment horizontal="center" vertical="center" wrapText="1"/>
    </xf>
    <xf numFmtId="10" fontId="1" fillId="0" borderId="25" xfId="0" applyNumberFormat="1" applyFont="1" applyBorder="1" applyAlignment="1">
      <alignment horizontal="center" vertical="center" wrapText="1"/>
    </xf>
    <xf numFmtId="10" fontId="1" fillId="0" borderId="18" xfId="0" applyNumberFormat="1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5" fillId="6" borderId="22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vertical="top" wrapText="1"/>
    </xf>
    <xf numFmtId="0" fontId="6" fillId="0" borderId="0" xfId="0" applyFont="1"/>
    <xf numFmtId="0" fontId="5" fillId="5" borderId="22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5" fillId="7" borderId="22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6" fillId="0" borderId="15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1" fontId="6" fillId="0" borderId="25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vertical="top" wrapText="1"/>
    </xf>
    <xf numFmtId="0" fontId="6" fillId="0" borderId="18" xfId="0" applyFont="1" applyBorder="1" applyAlignment="1">
      <alignment vertical="top" wrapText="1"/>
    </xf>
    <xf numFmtId="1" fontId="6" fillId="0" borderId="26" xfId="0" applyNumberFormat="1" applyFont="1" applyBorder="1" applyAlignment="1">
      <alignment horizontal="center" vertical="center"/>
    </xf>
    <xf numFmtId="0" fontId="5" fillId="0" borderId="13" xfId="0" applyFont="1" applyBorder="1"/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wrapText="1"/>
    </xf>
    <xf numFmtId="0" fontId="5" fillId="0" borderId="26" xfId="0" applyFont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left" vertical="center" wrapText="1"/>
    </xf>
    <xf numFmtId="0" fontId="5" fillId="8" borderId="16" xfId="0" applyFont="1" applyFill="1" applyBorder="1" applyAlignment="1">
      <alignment horizontal="center"/>
    </xf>
    <xf numFmtId="0" fontId="5" fillId="11" borderId="16" xfId="0" applyFont="1" applyFill="1" applyBorder="1" applyAlignment="1">
      <alignment horizontal="center"/>
    </xf>
    <xf numFmtId="0" fontId="5" fillId="12" borderId="16" xfId="0" applyFont="1" applyFill="1" applyBorder="1" applyAlignment="1">
      <alignment horizontal="center"/>
    </xf>
    <xf numFmtId="0" fontId="5" fillId="13" borderId="16" xfId="0" applyFont="1" applyFill="1" applyBorder="1" applyAlignment="1">
      <alignment horizontal="center"/>
    </xf>
    <xf numFmtId="0" fontId="5" fillId="14" borderId="16" xfId="0" applyFont="1" applyFill="1" applyBorder="1" applyAlignment="1">
      <alignment horizontal="center"/>
    </xf>
    <xf numFmtId="0" fontId="6" fillId="8" borderId="16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/>
    </xf>
    <xf numFmtId="0" fontId="6" fillId="12" borderId="16" xfId="0" applyFont="1" applyFill="1" applyBorder="1" applyAlignment="1">
      <alignment horizontal="center"/>
    </xf>
    <xf numFmtId="0" fontId="6" fillId="13" borderId="16" xfId="0" applyFont="1" applyFill="1" applyBorder="1" applyAlignment="1">
      <alignment horizontal="center"/>
    </xf>
    <xf numFmtId="0" fontId="6" fillId="14" borderId="16" xfId="0" applyFont="1" applyFill="1" applyBorder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5" fillId="8" borderId="29" xfId="0" applyFont="1" applyFill="1" applyBorder="1" applyAlignment="1">
      <alignment horizontal="center"/>
    </xf>
    <xf numFmtId="0" fontId="5" fillId="11" borderId="29" xfId="0" applyFont="1" applyFill="1" applyBorder="1" applyAlignment="1">
      <alignment horizontal="center"/>
    </xf>
    <xf numFmtId="0" fontId="5" fillId="12" borderId="29" xfId="0" applyFont="1" applyFill="1" applyBorder="1" applyAlignment="1">
      <alignment horizontal="center"/>
    </xf>
    <xf numFmtId="0" fontId="5" fillId="13" borderId="29" xfId="0" applyFont="1" applyFill="1" applyBorder="1" applyAlignment="1">
      <alignment horizontal="center"/>
    </xf>
    <xf numFmtId="0" fontId="5" fillId="14" borderId="29" xfId="0" applyFont="1" applyFill="1" applyBorder="1" applyAlignment="1">
      <alignment horizontal="center"/>
    </xf>
    <xf numFmtId="0" fontId="10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8" borderId="29" xfId="0" applyFont="1" applyFill="1" applyBorder="1" applyAlignment="1">
      <alignment horizontal="center"/>
    </xf>
    <xf numFmtId="0" fontId="6" fillId="11" borderId="29" xfId="0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3" borderId="29" xfId="0" applyFont="1" applyFill="1" applyBorder="1" applyAlignment="1">
      <alignment horizontal="center"/>
    </xf>
    <xf numFmtId="0" fontId="6" fillId="14" borderId="29" xfId="0" applyFont="1" applyFill="1" applyBorder="1" applyAlignment="1">
      <alignment horizontal="center"/>
    </xf>
    <xf numFmtId="0" fontId="6" fillId="0" borderId="29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center" vertical="center" wrapText="1"/>
    </xf>
    <xf numFmtId="0" fontId="5" fillId="6" borderId="30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32" xfId="0" applyFont="1" applyBorder="1"/>
    <xf numFmtId="0" fontId="5" fillId="14" borderId="33" xfId="0" applyFont="1" applyFill="1" applyBorder="1" applyAlignment="1">
      <alignment horizontal="center" vertical="center" wrapText="1"/>
    </xf>
    <xf numFmtId="0" fontId="5" fillId="15" borderId="34" xfId="0" applyFont="1" applyFill="1" applyBorder="1" applyAlignment="1">
      <alignment horizontal="center" vertical="center" wrapText="1"/>
    </xf>
    <xf numFmtId="0" fontId="5" fillId="9" borderId="35" xfId="0" applyFont="1" applyFill="1" applyBorder="1" applyAlignment="1">
      <alignment horizontal="center"/>
    </xf>
    <xf numFmtId="0" fontId="5" fillId="15" borderId="36" xfId="0" applyFont="1" applyFill="1" applyBorder="1" applyAlignment="1">
      <alignment horizontal="center"/>
    </xf>
    <xf numFmtId="0" fontId="5" fillId="16" borderId="35" xfId="0" applyFont="1" applyFill="1" applyBorder="1" applyAlignment="1">
      <alignment wrapText="1"/>
    </xf>
    <xf numFmtId="0" fontId="6" fillId="15" borderId="36" xfId="0" applyFont="1" applyFill="1" applyBorder="1" applyAlignment="1">
      <alignment horizontal="center"/>
    </xf>
    <xf numFmtId="0" fontId="9" fillId="0" borderId="35" xfId="0" applyFont="1" applyBorder="1" applyAlignment="1">
      <alignment wrapText="1"/>
    </xf>
    <xf numFmtId="0" fontId="6" fillId="0" borderId="28" xfId="0" applyFont="1" applyBorder="1"/>
    <xf numFmtId="0" fontId="6" fillId="0" borderId="37" xfId="0" applyFont="1" applyBorder="1"/>
    <xf numFmtId="0" fontId="5" fillId="15" borderId="38" xfId="0" applyFont="1" applyFill="1" applyBorder="1" applyAlignment="1">
      <alignment horizontal="center"/>
    </xf>
    <xf numFmtId="0" fontId="6" fillId="0" borderId="35" xfId="0" applyFont="1" applyBorder="1" applyAlignment="1">
      <alignment wrapText="1"/>
    </xf>
    <xf numFmtId="0" fontId="6" fillId="15" borderId="38" xfId="0" applyFont="1" applyFill="1" applyBorder="1" applyAlignment="1">
      <alignment horizontal="center"/>
    </xf>
    <xf numFmtId="0" fontId="6" fillId="0" borderId="39" xfId="0" applyFont="1" applyBorder="1" applyAlignment="1">
      <alignment wrapText="1"/>
    </xf>
    <xf numFmtId="0" fontId="6" fillId="8" borderId="40" xfId="0" applyFont="1" applyFill="1" applyBorder="1" applyAlignment="1">
      <alignment horizontal="center"/>
    </xf>
    <xf numFmtId="0" fontId="6" fillId="11" borderId="40" xfId="0" applyFont="1" applyFill="1" applyBorder="1" applyAlignment="1">
      <alignment horizontal="center"/>
    </xf>
    <xf numFmtId="0" fontId="6" fillId="12" borderId="40" xfId="0" applyFont="1" applyFill="1" applyBorder="1" applyAlignment="1">
      <alignment horizontal="center"/>
    </xf>
    <xf numFmtId="0" fontId="6" fillId="13" borderId="40" xfId="0" applyFont="1" applyFill="1" applyBorder="1" applyAlignment="1">
      <alignment horizontal="center"/>
    </xf>
    <xf numFmtId="0" fontId="6" fillId="14" borderId="40" xfId="0" applyFont="1" applyFill="1" applyBorder="1" applyAlignment="1">
      <alignment horizontal="center"/>
    </xf>
    <xf numFmtId="0" fontId="6" fillId="15" borderId="41" xfId="0" applyFont="1" applyFill="1" applyBorder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6" fillId="0" borderId="22" xfId="0" applyFont="1" applyBorder="1"/>
    <xf numFmtId="0" fontId="6" fillId="0" borderId="7" xfId="0" applyFont="1" applyBorder="1"/>
    <xf numFmtId="0" fontId="6" fillId="0" borderId="8" xfId="0" applyFont="1" applyBorder="1" applyAlignment="1">
      <alignment wrapText="1"/>
    </xf>
    <xf numFmtId="0" fontId="6" fillId="0" borderId="9" xfId="0" applyFont="1" applyBorder="1"/>
    <xf numFmtId="0" fontId="6" fillId="0" borderId="10" xfId="0" applyFont="1" applyBorder="1" applyAlignment="1">
      <alignment wrapText="1"/>
    </xf>
    <xf numFmtId="0" fontId="6" fillId="0" borderId="11" xfId="0" applyFont="1" applyBorder="1"/>
    <xf numFmtId="0" fontId="6" fillId="0" borderId="12" xfId="0" applyFont="1" applyBorder="1"/>
    <xf numFmtId="0" fontId="5" fillId="9" borderId="22" xfId="0" applyFont="1" applyFill="1" applyBorder="1"/>
    <xf numFmtId="0" fontId="5" fillId="16" borderId="22" xfId="0" applyFont="1" applyFill="1" applyBorder="1" applyAlignment="1">
      <alignment horizontal="center"/>
    </xf>
    <xf numFmtId="0" fontId="6" fillId="8" borderId="22" xfId="0" applyFont="1" applyFill="1" applyBorder="1" applyAlignment="1">
      <alignment wrapText="1"/>
    </xf>
    <xf numFmtId="0" fontId="6" fillId="11" borderId="22" xfId="0" applyFont="1" applyFill="1" applyBorder="1" applyAlignment="1">
      <alignment wrapText="1"/>
    </xf>
    <xf numFmtId="0" fontId="6" fillId="12" borderId="22" xfId="0" applyFont="1" applyFill="1" applyBorder="1" applyAlignment="1">
      <alignment wrapText="1"/>
    </xf>
    <xf numFmtId="0" fontId="6" fillId="13" borderId="22" xfId="0" applyFont="1" applyFill="1" applyBorder="1" applyAlignment="1">
      <alignment wrapText="1"/>
    </xf>
    <xf numFmtId="0" fontId="6" fillId="14" borderId="22" xfId="0" applyFont="1" applyFill="1" applyBorder="1" applyAlignment="1">
      <alignment wrapText="1"/>
    </xf>
    <xf numFmtId="0" fontId="6" fillId="15" borderId="22" xfId="0" applyFont="1" applyFill="1" applyBorder="1" applyAlignment="1">
      <alignment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wrapText="1"/>
    </xf>
    <xf numFmtId="0" fontId="6" fillId="0" borderId="28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10" borderId="0" xfId="0" applyFont="1" applyFill="1" applyAlignment="1">
      <alignment horizontal="center"/>
    </xf>
    <xf numFmtId="0" fontId="8" fillId="0" borderId="0" xfId="0" applyFont="1" applyAlignment="1">
      <alignment wrapText="1"/>
    </xf>
    <xf numFmtId="0" fontId="5" fillId="8" borderId="33" xfId="0" applyFont="1" applyFill="1" applyBorder="1" applyAlignment="1">
      <alignment horizontal="center" vertical="center" wrapText="1"/>
    </xf>
    <xf numFmtId="0" fontId="6" fillId="8" borderId="33" xfId="0" applyFont="1" applyFill="1" applyBorder="1"/>
    <xf numFmtId="0" fontId="5" fillId="11" borderId="33" xfId="0" applyFont="1" applyFill="1" applyBorder="1" applyAlignment="1">
      <alignment horizontal="center" vertical="center" wrapText="1"/>
    </xf>
    <xf numFmtId="0" fontId="6" fillId="11" borderId="33" xfId="0" applyFont="1" applyFill="1" applyBorder="1"/>
    <xf numFmtId="0" fontId="5" fillId="12" borderId="33" xfId="0" applyFont="1" applyFill="1" applyBorder="1" applyAlignment="1">
      <alignment horizontal="center" vertical="center" wrapText="1"/>
    </xf>
    <xf numFmtId="0" fontId="6" fillId="12" borderId="33" xfId="0" applyFont="1" applyFill="1" applyBorder="1"/>
    <xf numFmtId="0" fontId="5" fillId="13" borderId="33" xfId="0" applyFont="1" applyFill="1" applyBorder="1" applyAlignment="1">
      <alignment horizontal="center" vertical="center" wrapText="1"/>
    </xf>
    <xf numFmtId="0" fontId="6" fillId="13" borderId="33" xfId="0" applyFont="1" applyFill="1" applyBorder="1"/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1" fillId="0" borderId="27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?utm_source=chatgpt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test.candidate@example.com" TargetMode="External"/><Relationship Id="rId1" Type="http://schemas.openxmlformats.org/officeDocument/2006/relationships/hyperlink" Target="https://opensource-demo.orangehrmlive.com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workbookViewId="0">
      <selection activeCell="E34" sqref="E34"/>
    </sheetView>
  </sheetViews>
  <sheetFormatPr defaultColWidth="11.109375" defaultRowHeight="14.4" x14ac:dyDescent="0.25"/>
  <cols>
    <col min="1" max="1" width="22.109375" customWidth="1"/>
    <col min="2" max="2" width="12.33203125" customWidth="1"/>
    <col min="3" max="3" width="39.33203125" customWidth="1"/>
    <col min="4" max="4" width="12.33203125" customWidth="1"/>
    <col min="5" max="5" width="34.44140625" customWidth="1"/>
    <col min="6" max="6" width="36.88671875" customWidth="1"/>
    <col min="7" max="7" width="22.109375" customWidth="1"/>
  </cols>
  <sheetData>
    <row r="1" spans="1:7" ht="28.8" x14ac:dyDescent="0.25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</row>
    <row r="2" spans="1:7" x14ac:dyDescent="0.25">
      <c r="A2" s="41" t="s">
        <v>7</v>
      </c>
      <c r="B2" s="41" t="s">
        <v>8</v>
      </c>
      <c r="C2" s="41" t="s">
        <v>9</v>
      </c>
      <c r="D2" s="41" t="s">
        <v>10</v>
      </c>
      <c r="E2" s="41" t="s">
        <v>11</v>
      </c>
      <c r="F2" s="41" t="s">
        <v>12</v>
      </c>
      <c r="G2" s="41" t="s">
        <v>13</v>
      </c>
    </row>
    <row r="3" spans="1:7" ht="28.8" x14ac:dyDescent="0.25">
      <c r="A3" s="41" t="s">
        <v>7</v>
      </c>
      <c r="B3" s="41" t="s">
        <v>14</v>
      </c>
      <c r="C3" s="41" t="s">
        <v>15</v>
      </c>
      <c r="D3" s="41" t="s">
        <v>16</v>
      </c>
      <c r="E3" s="41" t="s">
        <v>17</v>
      </c>
      <c r="F3" s="41" t="s">
        <v>18</v>
      </c>
      <c r="G3" s="41" t="s">
        <v>19</v>
      </c>
    </row>
    <row r="4" spans="1:7" ht="28.8" x14ac:dyDescent="0.25">
      <c r="A4" s="41" t="s">
        <v>7</v>
      </c>
      <c r="B4" s="41" t="s">
        <v>20</v>
      </c>
      <c r="C4" s="41" t="s">
        <v>21</v>
      </c>
      <c r="D4" s="41" t="s">
        <v>10</v>
      </c>
      <c r="E4" s="41" t="s">
        <v>22</v>
      </c>
      <c r="F4" s="41" t="s">
        <v>23</v>
      </c>
      <c r="G4" s="41" t="s">
        <v>24</v>
      </c>
    </row>
    <row r="5" spans="1:7" x14ac:dyDescent="0.25">
      <c r="A5" s="41" t="s">
        <v>25</v>
      </c>
      <c r="B5" s="41" t="s">
        <v>26</v>
      </c>
      <c r="C5" s="41" t="s">
        <v>9</v>
      </c>
      <c r="D5" s="41" t="s">
        <v>10</v>
      </c>
      <c r="E5" s="41" t="s">
        <v>11</v>
      </c>
      <c r="F5" s="41" t="s">
        <v>12</v>
      </c>
      <c r="G5" s="41" t="s">
        <v>27</v>
      </c>
    </row>
    <row r="6" spans="1:7" ht="28.8" x14ac:dyDescent="0.25">
      <c r="A6" s="41" t="s">
        <v>25</v>
      </c>
      <c r="B6" s="41" t="s">
        <v>28</v>
      </c>
      <c r="C6" s="41" t="s">
        <v>15</v>
      </c>
      <c r="D6" s="41" t="s">
        <v>16</v>
      </c>
      <c r="E6" s="41" t="s">
        <v>29</v>
      </c>
      <c r="F6" s="41" t="s">
        <v>18</v>
      </c>
      <c r="G6" s="41" t="s">
        <v>30</v>
      </c>
    </row>
    <row r="7" spans="1:7" ht="28.8" x14ac:dyDescent="0.25">
      <c r="A7" s="41" t="s">
        <v>25</v>
      </c>
      <c r="B7" s="41" t="s">
        <v>31</v>
      </c>
      <c r="C7" s="41" t="s">
        <v>21</v>
      </c>
      <c r="D7" s="41" t="s">
        <v>10</v>
      </c>
      <c r="E7" s="41" t="s">
        <v>32</v>
      </c>
      <c r="F7" s="41" t="s">
        <v>23</v>
      </c>
      <c r="G7" s="41" t="s">
        <v>33</v>
      </c>
    </row>
    <row r="8" spans="1:7" x14ac:dyDescent="0.25">
      <c r="A8" s="41" t="s">
        <v>34</v>
      </c>
      <c r="B8" s="41" t="s">
        <v>35</v>
      </c>
      <c r="C8" s="41" t="s">
        <v>36</v>
      </c>
      <c r="D8" s="41" t="s">
        <v>16</v>
      </c>
      <c r="E8" s="41" t="s">
        <v>11</v>
      </c>
      <c r="F8" s="41" t="s">
        <v>18</v>
      </c>
      <c r="G8" s="41" t="s">
        <v>37</v>
      </c>
    </row>
    <row r="9" spans="1:7" x14ac:dyDescent="0.25">
      <c r="A9" s="41" t="s">
        <v>34</v>
      </c>
      <c r="B9" s="41" t="s">
        <v>38</v>
      </c>
      <c r="C9" s="41" t="s">
        <v>15</v>
      </c>
      <c r="D9" s="41" t="s">
        <v>16</v>
      </c>
      <c r="E9" s="41" t="s">
        <v>39</v>
      </c>
      <c r="F9" s="41" t="s">
        <v>18</v>
      </c>
      <c r="G9" s="41" t="s">
        <v>40</v>
      </c>
    </row>
    <row r="10" spans="1:7" ht="28.8" x14ac:dyDescent="0.25">
      <c r="A10" s="41" t="s">
        <v>34</v>
      </c>
      <c r="B10" s="41" t="s">
        <v>41</v>
      </c>
      <c r="C10" s="41" t="s">
        <v>21</v>
      </c>
      <c r="D10" s="41" t="s">
        <v>10</v>
      </c>
      <c r="E10" s="41" t="s">
        <v>42</v>
      </c>
      <c r="F10" s="41" t="s">
        <v>23</v>
      </c>
      <c r="G10" s="41" t="s">
        <v>43</v>
      </c>
    </row>
    <row r="11" spans="1:7" x14ac:dyDescent="0.25">
      <c r="A11" s="41" t="s">
        <v>44</v>
      </c>
      <c r="B11" s="41" t="s">
        <v>45</v>
      </c>
      <c r="C11" s="41" t="s">
        <v>46</v>
      </c>
      <c r="D11" s="41" t="s">
        <v>16</v>
      </c>
      <c r="E11" s="41" t="s">
        <v>47</v>
      </c>
      <c r="F11" s="41" t="s">
        <v>18</v>
      </c>
      <c r="G11" s="41" t="s">
        <v>40</v>
      </c>
    </row>
    <row r="12" spans="1:7" x14ac:dyDescent="0.25">
      <c r="A12" s="41" t="s">
        <v>44</v>
      </c>
      <c r="B12" s="41" t="s">
        <v>48</v>
      </c>
      <c r="C12" s="41" t="s">
        <v>49</v>
      </c>
      <c r="D12" s="41" t="s">
        <v>16</v>
      </c>
      <c r="E12" s="41" t="s">
        <v>50</v>
      </c>
      <c r="F12" s="41" t="s">
        <v>18</v>
      </c>
      <c r="G12" s="41" t="s">
        <v>51</v>
      </c>
    </row>
    <row r="13" spans="1:7" x14ac:dyDescent="0.25">
      <c r="A13" s="41" t="s">
        <v>44</v>
      </c>
      <c r="B13" s="41" t="s">
        <v>52</v>
      </c>
      <c r="C13" s="41" t="s">
        <v>53</v>
      </c>
      <c r="D13" s="41" t="s">
        <v>10</v>
      </c>
      <c r="E13" s="41" t="s">
        <v>54</v>
      </c>
      <c r="F13" s="41" t="s">
        <v>23</v>
      </c>
      <c r="G13" s="41" t="s">
        <v>55</v>
      </c>
    </row>
    <row r="14" spans="1:7" x14ac:dyDescent="0.25">
      <c r="A14" s="41" t="s">
        <v>44</v>
      </c>
      <c r="B14" s="41" t="s">
        <v>56</v>
      </c>
      <c r="C14" s="41" t="s">
        <v>57</v>
      </c>
      <c r="D14" s="41" t="s">
        <v>10</v>
      </c>
      <c r="E14" s="41" t="s">
        <v>58</v>
      </c>
      <c r="F14" s="41" t="s">
        <v>59</v>
      </c>
      <c r="G14" s="41" t="s">
        <v>60</v>
      </c>
    </row>
    <row r="15" spans="1:7" x14ac:dyDescent="0.25">
      <c r="A15" s="41" t="s">
        <v>61</v>
      </c>
      <c r="B15" s="41" t="s">
        <v>62</v>
      </c>
      <c r="C15" s="41" t="s">
        <v>63</v>
      </c>
      <c r="D15" s="41" t="s">
        <v>16</v>
      </c>
      <c r="E15" s="41" t="s">
        <v>64</v>
      </c>
      <c r="F15" s="41" t="s">
        <v>18</v>
      </c>
      <c r="G15" s="41" t="s">
        <v>40</v>
      </c>
    </row>
    <row r="16" spans="1:7" x14ac:dyDescent="0.25">
      <c r="A16" s="41" t="s">
        <v>61</v>
      </c>
      <c r="B16" s="41" t="s">
        <v>65</v>
      </c>
      <c r="C16" s="41" t="s">
        <v>66</v>
      </c>
      <c r="D16" s="41" t="s">
        <v>16</v>
      </c>
      <c r="E16" s="41" t="s">
        <v>67</v>
      </c>
      <c r="F16" s="41" t="s">
        <v>68</v>
      </c>
      <c r="G16" s="41" t="s">
        <v>69</v>
      </c>
    </row>
    <row r="17" spans="1:7" x14ac:dyDescent="0.25">
      <c r="A17" s="41" t="s">
        <v>61</v>
      </c>
      <c r="B17" s="41" t="s">
        <v>70</v>
      </c>
      <c r="C17" s="41" t="s">
        <v>71</v>
      </c>
      <c r="D17" s="41" t="s">
        <v>10</v>
      </c>
      <c r="E17" s="41" t="s">
        <v>72</v>
      </c>
      <c r="F17" s="41" t="s">
        <v>73</v>
      </c>
      <c r="G17" s="41" t="s">
        <v>74</v>
      </c>
    </row>
    <row r="18" spans="1:7" x14ac:dyDescent="0.25">
      <c r="A18" s="41" t="s">
        <v>61</v>
      </c>
      <c r="B18" s="41" t="s">
        <v>75</v>
      </c>
      <c r="C18" s="41" t="s">
        <v>76</v>
      </c>
      <c r="D18" s="41" t="s">
        <v>10</v>
      </c>
      <c r="E18" s="41" t="s">
        <v>77</v>
      </c>
      <c r="F18" s="41" t="s">
        <v>78</v>
      </c>
      <c r="G18" s="41" t="s">
        <v>79</v>
      </c>
    </row>
    <row r="19" spans="1:7" x14ac:dyDescent="0.25">
      <c r="A19" s="41" t="s">
        <v>80</v>
      </c>
      <c r="B19" s="41" t="s">
        <v>81</v>
      </c>
      <c r="C19" s="41" t="s">
        <v>82</v>
      </c>
      <c r="D19" s="41" t="s">
        <v>16</v>
      </c>
      <c r="E19" s="41" t="s">
        <v>82</v>
      </c>
      <c r="F19" s="41" t="s">
        <v>83</v>
      </c>
      <c r="G19" s="41" t="s">
        <v>40</v>
      </c>
    </row>
    <row r="20" spans="1:7" x14ac:dyDescent="0.25">
      <c r="A20" s="41" t="s">
        <v>84</v>
      </c>
      <c r="B20" s="41" t="s">
        <v>85</v>
      </c>
      <c r="C20" s="41" t="s">
        <v>86</v>
      </c>
      <c r="D20" s="41" t="s">
        <v>10</v>
      </c>
      <c r="E20" s="41" t="s">
        <v>11</v>
      </c>
      <c r="F20" s="41" t="s">
        <v>87</v>
      </c>
      <c r="G20" s="41" t="s">
        <v>88</v>
      </c>
    </row>
    <row r="21" spans="1:7" x14ac:dyDescent="0.25">
      <c r="A21" s="41" t="s">
        <v>84</v>
      </c>
      <c r="B21" s="41" t="s">
        <v>89</v>
      </c>
      <c r="C21" s="41" t="s">
        <v>90</v>
      </c>
      <c r="D21" s="41" t="s">
        <v>10</v>
      </c>
      <c r="E21" s="41" t="s">
        <v>91</v>
      </c>
      <c r="F21" s="41" t="s">
        <v>92</v>
      </c>
      <c r="G21" s="41" t="s">
        <v>93</v>
      </c>
    </row>
    <row r="22" spans="1:7" x14ac:dyDescent="0.25">
      <c r="A22" s="41" t="s">
        <v>84</v>
      </c>
      <c r="B22" s="41" t="s">
        <v>94</v>
      </c>
      <c r="C22" s="41" t="s">
        <v>95</v>
      </c>
      <c r="D22" s="41" t="s">
        <v>16</v>
      </c>
      <c r="E22" s="41" t="s">
        <v>96</v>
      </c>
      <c r="F22" s="41" t="s">
        <v>97</v>
      </c>
      <c r="G22" s="41" t="s">
        <v>98</v>
      </c>
    </row>
    <row r="23" spans="1:7" x14ac:dyDescent="0.25">
      <c r="A23" s="41" t="s">
        <v>84</v>
      </c>
      <c r="B23" s="41" t="s">
        <v>99</v>
      </c>
      <c r="C23" s="41" t="s">
        <v>100</v>
      </c>
      <c r="D23" s="41" t="s">
        <v>10</v>
      </c>
      <c r="E23" s="41" t="s">
        <v>101</v>
      </c>
      <c r="F23" s="41" t="s">
        <v>102</v>
      </c>
      <c r="G23" s="41" t="s">
        <v>103</v>
      </c>
    </row>
    <row r="24" spans="1:7" x14ac:dyDescent="0.25">
      <c r="A24" s="41" t="s">
        <v>104</v>
      </c>
      <c r="B24" s="41" t="s">
        <v>105</v>
      </c>
      <c r="C24" s="41" t="s">
        <v>106</v>
      </c>
      <c r="D24" s="41" t="s">
        <v>10</v>
      </c>
      <c r="E24" s="41" t="s">
        <v>107</v>
      </c>
      <c r="F24" s="41" t="s">
        <v>108</v>
      </c>
      <c r="G24" s="41" t="s">
        <v>109</v>
      </c>
    </row>
    <row r="25" spans="1:7" x14ac:dyDescent="0.25">
      <c r="A25" s="41" t="s">
        <v>104</v>
      </c>
      <c r="B25" s="41" t="s">
        <v>110</v>
      </c>
      <c r="C25" s="41" t="s">
        <v>111</v>
      </c>
      <c r="D25" s="41" t="s">
        <v>16</v>
      </c>
      <c r="E25" s="41" t="s">
        <v>112</v>
      </c>
      <c r="F25" s="41" t="s">
        <v>97</v>
      </c>
      <c r="G25" s="41" t="s">
        <v>98</v>
      </c>
    </row>
    <row r="26" spans="1:7" x14ac:dyDescent="0.25">
      <c r="A26" s="41" t="s">
        <v>104</v>
      </c>
      <c r="B26" s="41" t="s">
        <v>113</v>
      </c>
      <c r="C26" s="41" t="s">
        <v>114</v>
      </c>
      <c r="D26" s="41" t="s">
        <v>10</v>
      </c>
      <c r="E26" s="41" t="s">
        <v>115</v>
      </c>
      <c r="F26" s="41" t="s">
        <v>116</v>
      </c>
      <c r="G26" s="41" t="s">
        <v>117</v>
      </c>
    </row>
    <row r="27" spans="1:7" x14ac:dyDescent="0.25">
      <c r="A27" s="41" t="s">
        <v>118</v>
      </c>
      <c r="B27" s="41" t="s">
        <v>119</v>
      </c>
      <c r="C27" s="41" t="s">
        <v>120</v>
      </c>
      <c r="D27" s="41" t="s">
        <v>16</v>
      </c>
      <c r="E27" s="41" t="s">
        <v>112</v>
      </c>
      <c r="F27" s="41" t="s">
        <v>97</v>
      </c>
      <c r="G27" s="41" t="s">
        <v>98</v>
      </c>
    </row>
    <row r="28" spans="1:7" x14ac:dyDescent="0.25">
      <c r="A28" s="41" t="s">
        <v>118</v>
      </c>
      <c r="B28" s="31" t="s">
        <v>417</v>
      </c>
      <c r="C28" s="41" t="s">
        <v>121</v>
      </c>
      <c r="D28" s="41" t="s">
        <v>10</v>
      </c>
      <c r="E28" s="41" t="s">
        <v>122</v>
      </c>
      <c r="F28" s="41" t="s">
        <v>123</v>
      </c>
      <c r="G28" s="41" t="s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zoomScaleNormal="100" workbookViewId="0">
      <selection activeCell="F12" sqref="F12"/>
    </sheetView>
  </sheetViews>
  <sheetFormatPr defaultColWidth="11.109375" defaultRowHeight="14.4" x14ac:dyDescent="0.3"/>
  <cols>
    <col min="1" max="1" width="22.109375" style="42" customWidth="1"/>
    <col min="2" max="5" width="17.21875" style="42" customWidth="1"/>
    <col min="6" max="6" width="24.6640625" style="42" customWidth="1"/>
    <col min="7" max="16384" width="11.109375" style="42"/>
  </cols>
  <sheetData>
    <row r="1" spans="1:6" x14ac:dyDescent="0.3">
      <c r="A1" s="40" t="s">
        <v>125</v>
      </c>
      <c r="B1" s="40" t="s">
        <v>126</v>
      </c>
      <c r="C1" s="40" t="s">
        <v>127</v>
      </c>
      <c r="D1" s="40" t="s">
        <v>3</v>
      </c>
      <c r="E1" s="40" t="s">
        <v>5</v>
      </c>
      <c r="F1" s="40" t="s">
        <v>6</v>
      </c>
    </row>
    <row r="2" spans="1:6" x14ac:dyDescent="0.3">
      <c r="A2" s="41" t="s">
        <v>7</v>
      </c>
      <c r="B2" s="41" t="s">
        <v>128</v>
      </c>
      <c r="C2" s="41" t="s">
        <v>129</v>
      </c>
      <c r="D2" s="41" t="s">
        <v>16</v>
      </c>
      <c r="E2" s="41" t="s">
        <v>18</v>
      </c>
      <c r="F2" s="41" t="s">
        <v>130</v>
      </c>
    </row>
    <row r="3" spans="1:6" x14ac:dyDescent="0.3">
      <c r="A3" s="41" t="s">
        <v>7</v>
      </c>
      <c r="B3" s="41" t="s">
        <v>131</v>
      </c>
      <c r="C3" s="41" t="s">
        <v>132</v>
      </c>
      <c r="D3" s="41" t="s">
        <v>16</v>
      </c>
      <c r="E3" s="41" t="s">
        <v>18</v>
      </c>
      <c r="F3" s="41" t="s">
        <v>19</v>
      </c>
    </row>
    <row r="4" spans="1:6" ht="28.8" x14ac:dyDescent="0.3">
      <c r="A4" s="41" t="s">
        <v>7</v>
      </c>
      <c r="B4" s="41" t="s">
        <v>133</v>
      </c>
      <c r="C4" s="41" t="s">
        <v>134</v>
      </c>
      <c r="D4" s="41" t="s">
        <v>10</v>
      </c>
      <c r="E4" s="41" t="s">
        <v>135</v>
      </c>
      <c r="F4" s="41" t="s">
        <v>24</v>
      </c>
    </row>
    <row r="5" spans="1:6" x14ac:dyDescent="0.3">
      <c r="A5" s="41" t="s">
        <v>25</v>
      </c>
      <c r="B5" s="41" t="s">
        <v>131</v>
      </c>
      <c r="C5" s="41" t="s">
        <v>132</v>
      </c>
      <c r="D5" s="41" t="s">
        <v>16</v>
      </c>
      <c r="E5" s="41" t="s">
        <v>18</v>
      </c>
      <c r="F5" s="41" t="s">
        <v>30</v>
      </c>
    </row>
    <row r="6" spans="1:6" ht="28.8" x14ac:dyDescent="0.3">
      <c r="A6" s="41" t="s">
        <v>25</v>
      </c>
      <c r="B6" s="41" t="s">
        <v>133</v>
      </c>
      <c r="C6" s="41" t="s">
        <v>134</v>
      </c>
      <c r="D6" s="41" t="s">
        <v>10</v>
      </c>
      <c r="E6" s="41" t="s">
        <v>135</v>
      </c>
      <c r="F6" s="41" t="s">
        <v>33</v>
      </c>
    </row>
    <row r="7" spans="1:6" ht="28.8" x14ac:dyDescent="0.3">
      <c r="A7" s="41" t="s">
        <v>34</v>
      </c>
      <c r="B7" s="41" t="s">
        <v>133</v>
      </c>
      <c r="C7" s="41" t="s">
        <v>134</v>
      </c>
      <c r="D7" s="41" t="s">
        <v>10</v>
      </c>
      <c r="E7" s="41" t="s">
        <v>135</v>
      </c>
      <c r="F7" s="41" t="s">
        <v>43</v>
      </c>
    </row>
    <row r="8" spans="1:6" x14ac:dyDescent="0.3">
      <c r="A8" s="41" t="s">
        <v>44</v>
      </c>
      <c r="B8" s="41" t="s">
        <v>131</v>
      </c>
      <c r="C8" s="41" t="s">
        <v>136</v>
      </c>
      <c r="D8" s="41" t="s">
        <v>16</v>
      </c>
      <c r="E8" s="41" t="s">
        <v>18</v>
      </c>
      <c r="F8" s="41" t="s">
        <v>51</v>
      </c>
    </row>
    <row r="9" spans="1:6" ht="28.8" x14ac:dyDescent="0.3">
      <c r="A9" s="41" t="s">
        <v>44</v>
      </c>
      <c r="B9" s="41" t="s">
        <v>133</v>
      </c>
      <c r="C9" s="41" t="s">
        <v>137</v>
      </c>
      <c r="D9" s="41" t="s">
        <v>10</v>
      </c>
      <c r="E9" s="41" t="s">
        <v>135</v>
      </c>
      <c r="F9" s="41" t="s">
        <v>55</v>
      </c>
    </row>
    <row r="10" spans="1:6" x14ac:dyDescent="0.3">
      <c r="A10" s="41" t="s">
        <v>84</v>
      </c>
      <c r="B10" s="41" t="s">
        <v>128</v>
      </c>
      <c r="C10" s="41" t="s">
        <v>138</v>
      </c>
      <c r="D10" s="41" t="s">
        <v>16</v>
      </c>
      <c r="E10" s="41" t="s">
        <v>97</v>
      </c>
      <c r="F10" s="41" t="s">
        <v>98</v>
      </c>
    </row>
    <row r="11" spans="1:6" ht="28.8" x14ac:dyDescent="0.3">
      <c r="A11" s="41" t="s">
        <v>84</v>
      </c>
      <c r="B11" s="41" t="s">
        <v>139</v>
      </c>
      <c r="C11" s="41" t="s">
        <v>140</v>
      </c>
      <c r="D11" s="41" t="s">
        <v>10</v>
      </c>
      <c r="E11" s="41" t="s">
        <v>92</v>
      </c>
      <c r="F11" s="41" t="s">
        <v>93</v>
      </c>
    </row>
    <row r="12" spans="1:6" x14ac:dyDescent="0.3">
      <c r="A12" s="41" t="s">
        <v>104</v>
      </c>
      <c r="B12" s="41" t="s">
        <v>128</v>
      </c>
      <c r="C12" s="41" t="s">
        <v>141</v>
      </c>
      <c r="D12" s="41" t="s">
        <v>16</v>
      </c>
      <c r="E12" s="41" t="s">
        <v>97</v>
      </c>
      <c r="F12" s="41" t="s">
        <v>98</v>
      </c>
    </row>
    <row r="13" spans="1:6" ht="28.8" x14ac:dyDescent="0.3">
      <c r="A13" s="41" t="s">
        <v>104</v>
      </c>
      <c r="B13" s="41" t="s">
        <v>139</v>
      </c>
      <c r="C13" s="41" t="s">
        <v>410</v>
      </c>
      <c r="D13" s="41" t="s">
        <v>10</v>
      </c>
      <c r="E13" s="41" t="s">
        <v>411</v>
      </c>
      <c r="F13" s="41" t="s">
        <v>109</v>
      </c>
    </row>
    <row r="14" spans="1:6" x14ac:dyDescent="0.3">
      <c r="A14" s="41" t="s">
        <v>142</v>
      </c>
      <c r="B14" s="41" t="s">
        <v>143</v>
      </c>
      <c r="C14" s="41" t="s">
        <v>144</v>
      </c>
      <c r="D14" s="41" t="s">
        <v>16</v>
      </c>
      <c r="E14" s="41" t="s">
        <v>145</v>
      </c>
      <c r="F14" s="41" t="s">
        <v>69</v>
      </c>
    </row>
    <row r="15" spans="1:6" x14ac:dyDescent="0.3">
      <c r="A15" s="41" t="s">
        <v>142</v>
      </c>
      <c r="B15" s="41" t="s">
        <v>146</v>
      </c>
      <c r="C15" s="41" t="s">
        <v>147</v>
      </c>
      <c r="D15" s="41" t="s">
        <v>10</v>
      </c>
      <c r="E15" s="41" t="s">
        <v>148</v>
      </c>
      <c r="F15" s="41" t="s">
        <v>79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0"/>
  <sheetViews>
    <sheetView zoomScale="90" zoomScaleNormal="90" workbookViewId="0">
      <selection activeCell="A20" sqref="A20:I45"/>
    </sheetView>
  </sheetViews>
  <sheetFormatPr defaultColWidth="11.109375" defaultRowHeight="14.4" x14ac:dyDescent="0.3"/>
  <cols>
    <col min="1" max="1" width="53.109375" style="42" customWidth="1"/>
    <col min="2" max="2" width="16.21875" style="42" customWidth="1"/>
    <col min="3" max="3" width="14.109375" style="42" customWidth="1"/>
    <col min="4" max="4" width="13.21875" style="42" customWidth="1"/>
    <col min="5" max="33" width="5.77734375" style="42" customWidth="1"/>
    <col min="34" max="16384" width="11.109375" style="42"/>
  </cols>
  <sheetData>
    <row r="1" spans="1:33" x14ac:dyDescent="0.3">
      <c r="A1" s="131" t="s">
        <v>344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</row>
    <row r="2" spans="1:33" ht="65.400000000000006" customHeight="1" x14ac:dyDescent="0.3">
      <c r="A2" s="60" t="s">
        <v>345</v>
      </c>
      <c r="B2" s="60">
        <v>5</v>
      </c>
      <c r="D2" s="60" t="s">
        <v>346</v>
      </c>
      <c r="E2" s="60">
        <v>32</v>
      </c>
    </row>
    <row r="4" spans="1:33" x14ac:dyDescent="0.3">
      <c r="A4" s="61" t="s">
        <v>152</v>
      </c>
      <c r="B4" s="61" t="s">
        <v>153</v>
      </c>
      <c r="C4" s="61" t="s">
        <v>154</v>
      </c>
      <c r="D4" s="61" t="s">
        <v>155</v>
      </c>
      <c r="E4" s="61" t="s">
        <v>156</v>
      </c>
      <c r="F4" s="61" t="s">
        <v>157</v>
      </c>
      <c r="G4" s="61" t="s">
        <v>158</v>
      </c>
      <c r="H4" s="61" t="s">
        <v>347</v>
      </c>
      <c r="I4" s="61" t="s">
        <v>348</v>
      </c>
      <c r="J4" s="61" t="s">
        <v>349</v>
      </c>
      <c r="K4" s="61" t="s">
        <v>350</v>
      </c>
      <c r="L4" s="61" t="s">
        <v>351</v>
      </c>
      <c r="M4" s="61" t="s">
        <v>352</v>
      </c>
      <c r="N4" s="61" t="s">
        <v>353</v>
      </c>
      <c r="O4" s="61" t="s">
        <v>354</v>
      </c>
      <c r="P4" s="61" t="s">
        <v>355</v>
      </c>
      <c r="Q4" s="61" t="s">
        <v>356</v>
      </c>
      <c r="R4" s="61" t="s">
        <v>357</v>
      </c>
      <c r="S4" s="61" t="s">
        <v>358</v>
      </c>
      <c r="T4" s="61" t="s">
        <v>359</v>
      </c>
      <c r="U4" s="61" t="s">
        <v>360</v>
      </c>
      <c r="V4" s="61" t="s">
        <v>361</v>
      </c>
      <c r="W4" s="61" t="s">
        <v>362</v>
      </c>
      <c r="X4" s="61" t="s">
        <v>363</v>
      </c>
      <c r="Y4" s="61" t="s">
        <v>364</v>
      </c>
      <c r="Z4" s="61" t="s">
        <v>365</v>
      </c>
      <c r="AA4" s="61" t="s">
        <v>366</v>
      </c>
      <c r="AB4" s="61" t="s">
        <v>367</v>
      </c>
      <c r="AC4" s="61" t="s">
        <v>368</v>
      </c>
      <c r="AD4" s="61" t="s">
        <v>369</v>
      </c>
      <c r="AE4" s="61" t="s">
        <v>370</v>
      </c>
      <c r="AF4" s="61" t="s">
        <v>371</v>
      </c>
      <c r="AG4" s="61" t="s">
        <v>372</v>
      </c>
    </row>
    <row r="5" spans="1:33" x14ac:dyDescent="0.3">
      <c r="A5" s="62" t="s">
        <v>159</v>
      </c>
      <c r="B5" s="63" t="s">
        <v>10</v>
      </c>
      <c r="C5" s="63" t="s">
        <v>10</v>
      </c>
      <c r="D5" s="63" t="s">
        <v>10</v>
      </c>
      <c r="E5" s="63" t="s">
        <v>10</v>
      </c>
      <c r="F5" s="63" t="s">
        <v>10</v>
      </c>
      <c r="G5" s="63" t="s">
        <v>10</v>
      </c>
      <c r="H5" s="63" t="s">
        <v>10</v>
      </c>
      <c r="I5" s="63" t="s">
        <v>10</v>
      </c>
      <c r="J5" s="63" t="s">
        <v>10</v>
      </c>
      <c r="K5" s="63" t="s">
        <v>10</v>
      </c>
      <c r="L5" s="63" t="s">
        <v>10</v>
      </c>
      <c r="M5" s="63" t="s">
        <v>10</v>
      </c>
      <c r="N5" s="63" t="s">
        <v>10</v>
      </c>
      <c r="O5" s="63" t="s">
        <v>10</v>
      </c>
      <c r="P5" s="63" t="s">
        <v>10</v>
      </c>
      <c r="Q5" s="63" t="s">
        <v>10</v>
      </c>
      <c r="R5" s="63" t="s">
        <v>16</v>
      </c>
      <c r="S5" s="63" t="s">
        <v>16</v>
      </c>
      <c r="T5" s="63" t="s">
        <v>16</v>
      </c>
      <c r="U5" s="63" t="s">
        <v>16</v>
      </c>
      <c r="V5" s="63" t="s">
        <v>16</v>
      </c>
      <c r="W5" s="63" t="s">
        <v>16</v>
      </c>
      <c r="X5" s="63" t="s">
        <v>16</v>
      </c>
      <c r="Y5" s="63" t="s">
        <v>16</v>
      </c>
      <c r="Z5" s="63" t="s">
        <v>16</v>
      </c>
      <c r="AA5" s="63" t="s">
        <v>16</v>
      </c>
      <c r="AB5" s="63" t="s">
        <v>16</v>
      </c>
      <c r="AC5" s="63" t="s">
        <v>16</v>
      </c>
      <c r="AD5" s="63" t="s">
        <v>16</v>
      </c>
      <c r="AE5" s="63" t="s">
        <v>16</v>
      </c>
      <c r="AF5" s="63" t="s">
        <v>16</v>
      </c>
      <c r="AG5" s="63" t="s">
        <v>16</v>
      </c>
    </row>
    <row r="6" spans="1:33" x14ac:dyDescent="0.3">
      <c r="A6" s="62" t="s">
        <v>160</v>
      </c>
      <c r="B6" s="63" t="s">
        <v>10</v>
      </c>
      <c r="C6" s="63" t="s">
        <v>10</v>
      </c>
      <c r="D6" s="63" t="s">
        <v>10</v>
      </c>
      <c r="E6" s="63" t="s">
        <v>10</v>
      </c>
      <c r="F6" s="63" t="s">
        <v>10</v>
      </c>
      <c r="G6" s="63" t="s">
        <v>10</v>
      </c>
      <c r="H6" s="63" t="s">
        <v>10</v>
      </c>
      <c r="I6" s="63" t="s">
        <v>10</v>
      </c>
      <c r="J6" s="63" t="s">
        <v>16</v>
      </c>
      <c r="K6" s="63" t="s">
        <v>16</v>
      </c>
      <c r="L6" s="63" t="s">
        <v>16</v>
      </c>
      <c r="M6" s="63" t="s">
        <v>16</v>
      </c>
      <c r="N6" s="63" t="s">
        <v>16</v>
      </c>
      <c r="O6" s="63" t="s">
        <v>16</v>
      </c>
      <c r="P6" s="63" t="s">
        <v>16</v>
      </c>
      <c r="Q6" s="63" t="s">
        <v>16</v>
      </c>
      <c r="R6" s="63" t="s">
        <v>10</v>
      </c>
      <c r="S6" s="63" t="s">
        <v>10</v>
      </c>
      <c r="T6" s="63" t="s">
        <v>10</v>
      </c>
      <c r="U6" s="63" t="s">
        <v>10</v>
      </c>
      <c r="V6" s="63" t="s">
        <v>10</v>
      </c>
      <c r="W6" s="63" t="s">
        <v>10</v>
      </c>
      <c r="X6" s="63" t="s">
        <v>10</v>
      </c>
      <c r="Y6" s="63" t="s">
        <v>10</v>
      </c>
      <c r="Z6" s="63" t="s">
        <v>16</v>
      </c>
      <c r="AA6" s="63" t="s">
        <v>16</v>
      </c>
      <c r="AB6" s="63" t="s">
        <v>16</v>
      </c>
      <c r="AC6" s="63" t="s">
        <v>16</v>
      </c>
      <c r="AD6" s="63" t="s">
        <v>16</v>
      </c>
      <c r="AE6" s="63" t="s">
        <v>16</v>
      </c>
      <c r="AF6" s="63" t="s">
        <v>16</v>
      </c>
      <c r="AG6" s="63" t="s">
        <v>16</v>
      </c>
    </row>
    <row r="7" spans="1:33" x14ac:dyDescent="0.3">
      <c r="A7" s="62" t="s">
        <v>161</v>
      </c>
      <c r="B7" s="63" t="s">
        <v>10</v>
      </c>
      <c r="C7" s="63" t="s">
        <v>10</v>
      </c>
      <c r="D7" s="63" t="s">
        <v>10</v>
      </c>
      <c r="E7" s="63" t="s">
        <v>10</v>
      </c>
      <c r="F7" s="63" t="s">
        <v>16</v>
      </c>
      <c r="G7" s="63" t="s">
        <v>16</v>
      </c>
      <c r="H7" s="63" t="s">
        <v>16</v>
      </c>
      <c r="I7" s="63" t="s">
        <v>16</v>
      </c>
      <c r="J7" s="63" t="s">
        <v>10</v>
      </c>
      <c r="K7" s="63" t="s">
        <v>10</v>
      </c>
      <c r="L7" s="63" t="s">
        <v>10</v>
      </c>
      <c r="M7" s="63" t="s">
        <v>10</v>
      </c>
      <c r="N7" s="63" t="s">
        <v>16</v>
      </c>
      <c r="O7" s="63" t="s">
        <v>16</v>
      </c>
      <c r="P7" s="63" t="s">
        <v>16</v>
      </c>
      <c r="Q7" s="63" t="s">
        <v>16</v>
      </c>
      <c r="R7" s="63" t="s">
        <v>10</v>
      </c>
      <c r="S7" s="63" t="s">
        <v>10</v>
      </c>
      <c r="T7" s="63" t="s">
        <v>10</v>
      </c>
      <c r="U7" s="63" t="s">
        <v>10</v>
      </c>
      <c r="V7" s="63" t="s">
        <v>16</v>
      </c>
      <c r="W7" s="63" t="s">
        <v>16</v>
      </c>
      <c r="X7" s="63" t="s">
        <v>16</v>
      </c>
      <c r="Y7" s="63" t="s">
        <v>16</v>
      </c>
      <c r="Z7" s="63" t="s">
        <v>10</v>
      </c>
      <c r="AA7" s="63" t="s">
        <v>10</v>
      </c>
      <c r="AB7" s="63" t="s">
        <v>10</v>
      </c>
      <c r="AC7" s="63" t="s">
        <v>10</v>
      </c>
      <c r="AD7" s="63" t="s">
        <v>16</v>
      </c>
      <c r="AE7" s="63" t="s">
        <v>16</v>
      </c>
      <c r="AF7" s="63" t="s">
        <v>16</v>
      </c>
      <c r="AG7" s="63" t="s">
        <v>16</v>
      </c>
    </row>
    <row r="8" spans="1:33" x14ac:dyDescent="0.3">
      <c r="A8" s="62" t="s">
        <v>162</v>
      </c>
      <c r="B8" s="63" t="s">
        <v>10</v>
      </c>
      <c r="C8" s="63" t="s">
        <v>10</v>
      </c>
      <c r="D8" s="63" t="s">
        <v>16</v>
      </c>
      <c r="E8" s="63" t="s">
        <v>16</v>
      </c>
      <c r="F8" s="63" t="s">
        <v>10</v>
      </c>
      <c r="G8" s="63" t="s">
        <v>10</v>
      </c>
      <c r="H8" s="63" t="s">
        <v>16</v>
      </c>
      <c r="I8" s="63" t="s">
        <v>16</v>
      </c>
      <c r="J8" s="63" t="s">
        <v>10</v>
      </c>
      <c r="K8" s="63" t="s">
        <v>10</v>
      </c>
      <c r="L8" s="63" t="s">
        <v>16</v>
      </c>
      <c r="M8" s="63" t="s">
        <v>16</v>
      </c>
      <c r="N8" s="63" t="s">
        <v>10</v>
      </c>
      <c r="O8" s="63" t="s">
        <v>10</v>
      </c>
      <c r="P8" s="63" t="s">
        <v>16</v>
      </c>
      <c r="Q8" s="63" t="s">
        <v>16</v>
      </c>
      <c r="R8" s="63" t="s">
        <v>10</v>
      </c>
      <c r="S8" s="63" t="s">
        <v>10</v>
      </c>
      <c r="T8" s="63" t="s">
        <v>16</v>
      </c>
      <c r="U8" s="63" t="s">
        <v>16</v>
      </c>
      <c r="V8" s="63" t="s">
        <v>10</v>
      </c>
      <c r="W8" s="63" t="s">
        <v>10</v>
      </c>
      <c r="X8" s="63" t="s">
        <v>16</v>
      </c>
      <c r="Y8" s="63" t="s">
        <v>16</v>
      </c>
      <c r="Z8" s="63" t="s">
        <v>10</v>
      </c>
      <c r="AA8" s="63" t="s">
        <v>10</v>
      </c>
      <c r="AB8" s="63" t="s">
        <v>16</v>
      </c>
      <c r="AC8" s="63" t="s">
        <v>16</v>
      </c>
      <c r="AD8" s="63" t="s">
        <v>10</v>
      </c>
      <c r="AE8" s="63" t="s">
        <v>10</v>
      </c>
      <c r="AF8" s="63" t="s">
        <v>16</v>
      </c>
      <c r="AG8" s="63" t="s">
        <v>16</v>
      </c>
    </row>
    <row r="9" spans="1:33" x14ac:dyDescent="0.3">
      <c r="A9" s="62" t="s">
        <v>163</v>
      </c>
      <c r="B9" s="63" t="s">
        <v>10</v>
      </c>
      <c r="C9" s="63" t="s">
        <v>16</v>
      </c>
      <c r="D9" s="63" t="s">
        <v>10</v>
      </c>
      <c r="E9" s="63" t="s">
        <v>16</v>
      </c>
      <c r="F9" s="63" t="s">
        <v>10</v>
      </c>
      <c r="G9" s="63" t="s">
        <v>16</v>
      </c>
      <c r="H9" s="63" t="s">
        <v>10</v>
      </c>
      <c r="I9" s="63" t="s">
        <v>16</v>
      </c>
      <c r="J9" s="63" t="s">
        <v>10</v>
      </c>
      <c r="K9" s="63" t="s">
        <v>16</v>
      </c>
      <c r="L9" s="63" t="s">
        <v>10</v>
      </c>
      <c r="M9" s="63" t="s">
        <v>16</v>
      </c>
      <c r="N9" s="63" t="s">
        <v>10</v>
      </c>
      <c r="O9" s="63" t="s">
        <v>16</v>
      </c>
      <c r="P9" s="63" t="s">
        <v>10</v>
      </c>
      <c r="Q9" s="63" t="s">
        <v>16</v>
      </c>
      <c r="R9" s="63" t="s">
        <v>10</v>
      </c>
      <c r="S9" s="63" t="s">
        <v>16</v>
      </c>
      <c r="T9" s="63" t="s">
        <v>10</v>
      </c>
      <c r="U9" s="63" t="s">
        <v>16</v>
      </c>
      <c r="V9" s="63" t="s">
        <v>10</v>
      </c>
      <c r="W9" s="63" t="s">
        <v>16</v>
      </c>
      <c r="X9" s="63" t="s">
        <v>10</v>
      </c>
      <c r="Y9" s="63" t="s">
        <v>16</v>
      </c>
      <c r="Z9" s="63" t="s">
        <v>10</v>
      </c>
      <c r="AA9" s="63" t="s">
        <v>16</v>
      </c>
      <c r="AB9" s="63" t="s">
        <v>10</v>
      </c>
      <c r="AC9" s="63" t="s">
        <v>16</v>
      </c>
      <c r="AD9" s="63" t="s">
        <v>10</v>
      </c>
      <c r="AE9" s="63" t="s">
        <v>16</v>
      </c>
      <c r="AF9" s="63" t="s">
        <v>10</v>
      </c>
      <c r="AG9" s="63" t="s">
        <v>16</v>
      </c>
    </row>
    <row r="11" spans="1:33" x14ac:dyDescent="0.3">
      <c r="A11" s="61" t="s">
        <v>164</v>
      </c>
      <c r="B11" s="61" t="s">
        <v>153</v>
      </c>
      <c r="C11" s="61" t="s">
        <v>154</v>
      </c>
      <c r="D11" s="61" t="s">
        <v>155</v>
      </c>
      <c r="E11" s="61" t="s">
        <v>156</v>
      </c>
      <c r="F11" s="61" t="s">
        <v>157</v>
      </c>
      <c r="G11" s="61" t="s">
        <v>158</v>
      </c>
      <c r="H11" s="61" t="s">
        <v>347</v>
      </c>
      <c r="I11" s="61" t="s">
        <v>348</v>
      </c>
      <c r="J11" s="61" t="s">
        <v>349</v>
      </c>
      <c r="K11" s="61" t="s">
        <v>350</v>
      </c>
      <c r="L11" s="61" t="s">
        <v>351</v>
      </c>
      <c r="M11" s="61" t="s">
        <v>352</v>
      </c>
      <c r="N11" s="61" t="s">
        <v>353</v>
      </c>
      <c r="O11" s="61" t="s">
        <v>354</v>
      </c>
      <c r="P11" s="61" t="s">
        <v>355</v>
      </c>
      <c r="Q11" s="61" t="s">
        <v>356</v>
      </c>
      <c r="R11" s="61" t="s">
        <v>357</v>
      </c>
      <c r="S11" s="61" t="s">
        <v>358</v>
      </c>
      <c r="T11" s="61" t="s">
        <v>359</v>
      </c>
      <c r="U11" s="61" t="s">
        <v>360</v>
      </c>
      <c r="V11" s="61" t="s">
        <v>361</v>
      </c>
      <c r="W11" s="61" t="s">
        <v>362</v>
      </c>
      <c r="X11" s="61" t="s">
        <v>363</v>
      </c>
      <c r="Y11" s="61" t="s">
        <v>364</v>
      </c>
      <c r="Z11" s="61" t="s">
        <v>365</v>
      </c>
      <c r="AA11" s="61" t="s">
        <v>366</v>
      </c>
      <c r="AB11" s="61" t="s">
        <v>367</v>
      </c>
      <c r="AC11" s="61" t="s">
        <v>368</v>
      </c>
      <c r="AD11" s="61" t="s">
        <v>369</v>
      </c>
      <c r="AE11" s="61" t="s">
        <v>370</v>
      </c>
      <c r="AF11" s="61" t="s">
        <v>371</v>
      </c>
      <c r="AG11" s="61" t="s">
        <v>372</v>
      </c>
    </row>
    <row r="12" spans="1:33" x14ac:dyDescent="0.3">
      <c r="A12" s="62" t="s">
        <v>165</v>
      </c>
      <c r="B12" s="63" t="s">
        <v>16</v>
      </c>
      <c r="C12" s="63" t="s">
        <v>16</v>
      </c>
      <c r="D12" s="63" t="s">
        <v>16</v>
      </c>
      <c r="E12" s="63" t="s">
        <v>16</v>
      </c>
      <c r="F12" s="63" t="s">
        <v>16</v>
      </c>
      <c r="G12" s="63" t="s">
        <v>16</v>
      </c>
      <c r="H12" s="63" t="s">
        <v>16</v>
      </c>
      <c r="I12" s="63" t="s">
        <v>16</v>
      </c>
      <c r="J12" s="63" t="s">
        <v>16</v>
      </c>
      <c r="K12" s="63" t="s">
        <v>16</v>
      </c>
      <c r="L12" s="63" t="s">
        <v>16</v>
      </c>
      <c r="M12" s="63" t="s">
        <v>16</v>
      </c>
      <c r="N12" s="63" t="s">
        <v>16</v>
      </c>
      <c r="O12" s="63" t="s">
        <v>16</v>
      </c>
      <c r="P12" s="63" t="s">
        <v>16</v>
      </c>
      <c r="Q12" s="63" t="s">
        <v>16</v>
      </c>
      <c r="R12" s="63" t="s">
        <v>10</v>
      </c>
      <c r="S12" s="63" t="s">
        <v>10</v>
      </c>
      <c r="T12" s="63" t="s">
        <v>10</v>
      </c>
      <c r="U12" s="63" t="s">
        <v>10</v>
      </c>
      <c r="V12" s="63" t="s">
        <v>10</v>
      </c>
      <c r="W12" s="63" t="s">
        <v>10</v>
      </c>
      <c r="X12" s="63" t="s">
        <v>10</v>
      </c>
      <c r="Y12" s="63" t="s">
        <v>10</v>
      </c>
      <c r="Z12" s="63" t="s">
        <v>10</v>
      </c>
      <c r="AA12" s="63" t="s">
        <v>10</v>
      </c>
      <c r="AB12" s="63" t="s">
        <v>10</v>
      </c>
      <c r="AC12" s="63" t="s">
        <v>10</v>
      </c>
      <c r="AD12" s="63" t="s">
        <v>10</v>
      </c>
      <c r="AE12" s="63" t="s">
        <v>10</v>
      </c>
      <c r="AF12" s="63" t="s">
        <v>16</v>
      </c>
      <c r="AG12" s="63" t="s">
        <v>16</v>
      </c>
    </row>
    <row r="13" spans="1:33" x14ac:dyDescent="0.3">
      <c r="A13" s="62" t="s">
        <v>166</v>
      </c>
      <c r="B13" s="63" t="s">
        <v>10</v>
      </c>
      <c r="C13" s="63" t="s">
        <v>10</v>
      </c>
      <c r="D13" s="63" t="s">
        <v>10</v>
      </c>
      <c r="E13" s="63" t="s">
        <v>10</v>
      </c>
      <c r="F13" s="63" t="s">
        <v>10</v>
      </c>
      <c r="G13" s="63" t="s">
        <v>10</v>
      </c>
      <c r="H13" s="63" t="s">
        <v>10</v>
      </c>
      <c r="I13" s="63" t="s">
        <v>10</v>
      </c>
      <c r="J13" s="63" t="s">
        <v>10</v>
      </c>
      <c r="K13" s="63" t="s">
        <v>10</v>
      </c>
      <c r="L13" s="63" t="s">
        <v>10</v>
      </c>
      <c r="M13" s="63" t="s">
        <v>10</v>
      </c>
      <c r="N13" s="63" t="s">
        <v>10</v>
      </c>
      <c r="O13" s="63" t="s">
        <v>10</v>
      </c>
      <c r="P13" s="63" t="s">
        <v>10</v>
      </c>
      <c r="Q13" s="63" t="s">
        <v>10</v>
      </c>
      <c r="R13" s="63" t="s">
        <v>10</v>
      </c>
      <c r="S13" s="63" t="s">
        <v>10</v>
      </c>
      <c r="T13" s="63" t="s">
        <v>10</v>
      </c>
      <c r="U13" s="63" t="s">
        <v>10</v>
      </c>
      <c r="V13" s="63" t="s">
        <v>10</v>
      </c>
      <c r="W13" s="63" t="s">
        <v>10</v>
      </c>
      <c r="X13" s="63" t="s">
        <v>10</v>
      </c>
      <c r="Y13" s="63" t="s">
        <v>10</v>
      </c>
      <c r="Z13" s="63" t="s">
        <v>10</v>
      </c>
      <c r="AA13" s="63" t="s">
        <v>10</v>
      </c>
      <c r="AB13" s="63" t="s">
        <v>10</v>
      </c>
      <c r="AC13" s="63" t="s">
        <v>10</v>
      </c>
      <c r="AD13" s="63" t="s">
        <v>10</v>
      </c>
      <c r="AE13" s="63" t="s">
        <v>10</v>
      </c>
      <c r="AF13" s="63" t="s">
        <v>16</v>
      </c>
      <c r="AG13" s="63" t="s">
        <v>16</v>
      </c>
    </row>
    <row r="14" spans="1:33" x14ac:dyDescent="0.3">
      <c r="A14" s="62" t="s">
        <v>167</v>
      </c>
      <c r="B14" s="63" t="s">
        <v>10</v>
      </c>
      <c r="C14" s="63" t="s">
        <v>10</v>
      </c>
      <c r="D14" s="63" t="s">
        <v>10</v>
      </c>
      <c r="E14" s="63" t="s">
        <v>10</v>
      </c>
      <c r="F14" s="63" t="s">
        <v>10</v>
      </c>
      <c r="G14" s="63" t="s">
        <v>10</v>
      </c>
      <c r="H14" s="63" t="s">
        <v>10</v>
      </c>
      <c r="I14" s="63" t="s">
        <v>10</v>
      </c>
      <c r="J14" s="63" t="s">
        <v>10</v>
      </c>
      <c r="K14" s="63" t="s">
        <v>10</v>
      </c>
      <c r="L14" s="63" t="s">
        <v>10</v>
      </c>
      <c r="M14" s="63" t="s">
        <v>10</v>
      </c>
      <c r="N14" s="63" t="s">
        <v>10</v>
      </c>
      <c r="O14" s="63" t="s">
        <v>10</v>
      </c>
      <c r="P14" s="63" t="s">
        <v>10</v>
      </c>
      <c r="Q14" s="63" t="s">
        <v>10</v>
      </c>
      <c r="R14" s="63" t="s">
        <v>10</v>
      </c>
      <c r="S14" s="63" t="s">
        <v>10</v>
      </c>
      <c r="T14" s="63" t="s">
        <v>10</v>
      </c>
      <c r="U14" s="63" t="s">
        <v>10</v>
      </c>
      <c r="V14" s="63" t="s">
        <v>10</v>
      </c>
      <c r="W14" s="63" t="s">
        <v>10</v>
      </c>
      <c r="X14" s="63" t="s">
        <v>10</v>
      </c>
      <c r="Y14" s="63" t="s">
        <v>10</v>
      </c>
      <c r="Z14" s="63" t="s">
        <v>10</v>
      </c>
      <c r="AA14" s="63" t="s">
        <v>10</v>
      </c>
      <c r="AB14" s="63" t="s">
        <v>10</v>
      </c>
      <c r="AC14" s="63" t="s">
        <v>10</v>
      </c>
      <c r="AD14" s="63" t="s">
        <v>10</v>
      </c>
      <c r="AE14" s="63" t="s">
        <v>10</v>
      </c>
      <c r="AF14" s="63" t="s">
        <v>10</v>
      </c>
      <c r="AG14" s="63" t="s">
        <v>16</v>
      </c>
    </row>
    <row r="15" spans="1:33" x14ac:dyDescent="0.3">
      <c r="A15" s="62" t="s">
        <v>168</v>
      </c>
      <c r="B15" s="63" t="s">
        <v>10</v>
      </c>
      <c r="C15" s="63" t="s">
        <v>10</v>
      </c>
      <c r="D15" s="63" t="s">
        <v>10</v>
      </c>
      <c r="E15" s="63" t="s">
        <v>10</v>
      </c>
      <c r="F15" s="63" t="s">
        <v>10</v>
      </c>
      <c r="G15" s="63" t="s">
        <v>10</v>
      </c>
      <c r="H15" s="63" t="s">
        <v>10</v>
      </c>
      <c r="I15" s="63" t="s">
        <v>10</v>
      </c>
      <c r="J15" s="63" t="s">
        <v>10</v>
      </c>
      <c r="K15" s="63" t="s">
        <v>10</v>
      </c>
      <c r="L15" s="63" t="s">
        <v>10</v>
      </c>
      <c r="M15" s="63" t="s">
        <v>10</v>
      </c>
      <c r="N15" s="63" t="s">
        <v>10</v>
      </c>
      <c r="O15" s="63" t="s">
        <v>10</v>
      </c>
      <c r="P15" s="63" t="s">
        <v>10</v>
      </c>
      <c r="Q15" s="63" t="s">
        <v>10</v>
      </c>
      <c r="R15" s="63" t="s">
        <v>10</v>
      </c>
      <c r="S15" s="63" t="s">
        <v>10</v>
      </c>
      <c r="T15" s="63" t="s">
        <v>10</v>
      </c>
      <c r="U15" s="63" t="s">
        <v>10</v>
      </c>
      <c r="V15" s="63" t="s">
        <v>10</v>
      </c>
      <c r="W15" s="63" t="s">
        <v>10</v>
      </c>
      <c r="X15" s="63" t="s">
        <v>10</v>
      </c>
      <c r="Y15" s="63" t="s">
        <v>10</v>
      </c>
      <c r="Z15" s="63" t="s">
        <v>10</v>
      </c>
      <c r="AA15" s="63" t="s">
        <v>10</v>
      </c>
      <c r="AB15" s="63" t="s">
        <v>10</v>
      </c>
      <c r="AC15" s="63" t="s">
        <v>10</v>
      </c>
      <c r="AD15" s="63" t="s">
        <v>10</v>
      </c>
      <c r="AE15" s="63" t="s">
        <v>10</v>
      </c>
      <c r="AF15" s="63" t="s">
        <v>16</v>
      </c>
      <c r="AG15" s="63" t="s">
        <v>10</v>
      </c>
    </row>
    <row r="16" spans="1:33" x14ac:dyDescent="0.3">
      <c r="A16" s="62" t="s">
        <v>169</v>
      </c>
      <c r="B16" s="63" t="s">
        <v>10</v>
      </c>
      <c r="C16" s="63" t="s">
        <v>10</v>
      </c>
      <c r="D16" s="63" t="s">
        <v>10</v>
      </c>
      <c r="E16" s="63" t="s">
        <v>10</v>
      </c>
      <c r="F16" s="63" t="s">
        <v>10</v>
      </c>
      <c r="G16" s="63" t="s">
        <v>10</v>
      </c>
      <c r="H16" s="63" t="s">
        <v>10</v>
      </c>
      <c r="I16" s="63" t="s">
        <v>10</v>
      </c>
      <c r="J16" s="63" t="s">
        <v>10</v>
      </c>
      <c r="K16" s="63" t="s">
        <v>10</v>
      </c>
      <c r="L16" s="63" t="s">
        <v>10</v>
      </c>
      <c r="M16" s="63" t="s">
        <v>10</v>
      </c>
      <c r="N16" s="63" t="s">
        <v>10</v>
      </c>
      <c r="O16" s="63" t="s">
        <v>10</v>
      </c>
      <c r="P16" s="63" t="s">
        <v>10</v>
      </c>
      <c r="Q16" s="63" t="s">
        <v>10</v>
      </c>
      <c r="R16" s="63" t="s">
        <v>16</v>
      </c>
      <c r="S16" s="63" t="s">
        <v>16</v>
      </c>
      <c r="T16" s="63" t="s">
        <v>16</v>
      </c>
      <c r="U16" s="63" t="s">
        <v>16</v>
      </c>
      <c r="V16" s="63" t="s">
        <v>16</v>
      </c>
      <c r="W16" s="63" t="s">
        <v>16</v>
      </c>
      <c r="X16" s="63" t="s">
        <v>16</v>
      </c>
      <c r="Y16" s="63" t="s">
        <v>16</v>
      </c>
      <c r="Z16" s="63" t="s">
        <v>10</v>
      </c>
      <c r="AA16" s="63" t="s">
        <v>10</v>
      </c>
      <c r="AB16" s="63" t="s">
        <v>10</v>
      </c>
      <c r="AC16" s="63" t="s">
        <v>10</v>
      </c>
      <c r="AD16" s="63" t="s">
        <v>10</v>
      </c>
      <c r="AE16" s="63" t="s">
        <v>10</v>
      </c>
      <c r="AF16" s="63" t="s">
        <v>10</v>
      </c>
      <c r="AG16" s="63" t="s">
        <v>10</v>
      </c>
    </row>
    <row r="17" spans="1:33" x14ac:dyDescent="0.3">
      <c r="A17" s="62" t="s">
        <v>170</v>
      </c>
      <c r="B17" s="63" t="s">
        <v>10</v>
      </c>
      <c r="C17" s="63" t="s">
        <v>10</v>
      </c>
      <c r="D17" s="63" t="s">
        <v>10</v>
      </c>
      <c r="E17" s="63" t="s">
        <v>10</v>
      </c>
      <c r="F17" s="63" t="s">
        <v>10</v>
      </c>
      <c r="G17" s="63" t="s">
        <v>10</v>
      </c>
      <c r="H17" s="63" t="s">
        <v>10</v>
      </c>
      <c r="I17" s="63" t="s">
        <v>10</v>
      </c>
      <c r="J17" s="63" t="s">
        <v>10</v>
      </c>
      <c r="K17" s="63" t="s">
        <v>10</v>
      </c>
      <c r="L17" s="63" t="s">
        <v>10</v>
      </c>
      <c r="M17" s="63" t="s">
        <v>10</v>
      </c>
      <c r="N17" s="63" t="s">
        <v>10</v>
      </c>
      <c r="O17" s="63" t="s">
        <v>10</v>
      </c>
      <c r="P17" s="63" t="s">
        <v>10</v>
      </c>
      <c r="Q17" s="63" t="s">
        <v>10</v>
      </c>
      <c r="R17" s="63" t="s">
        <v>10</v>
      </c>
      <c r="S17" s="63" t="s">
        <v>10</v>
      </c>
      <c r="T17" s="63" t="s">
        <v>10</v>
      </c>
      <c r="U17" s="63" t="s">
        <v>10</v>
      </c>
      <c r="V17" s="63" t="s">
        <v>10</v>
      </c>
      <c r="W17" s="63" t="s">
        <v>10</v>
      </c>
      <c r="X17" s="63" t="s">
        <v>10</v>
      </c>
      <c r="Y17" s="63" t="s">
        <v>10</v>
      </c>
      <c r="Z17" s="63" t="s">
        <v>16</v>
      </c>
      <c r="AA17" s="63" t="s">
        <v>16</v>
      </c>
      <c r="AB17" s="63" t="s">
        <v>16</v>
      </c>
      <c r="AC17" s="63" t="s">
        <v>16</v>
      </c>
      <c r="AD17" s="63" t="s">
        <v>10</v>
      </c>
      <c r="AE17" s="63" t="s">
        <v>10</v>
      </c>
      <c r="AF17" s="63" t="s">
        <v>10</v>
      </c>
      <c r="AG17" s="63" t="s">
        <v>10</v>
      </c>
    </row>
    <row r="18" spans="1:33" x14ac:dyDescent="0.3">
      <c r="A18" s="62" t="s">
        <v>171</v>
      </c>
      <c r="B18" s="63" t="s">
        <v>10</v>
      </c>
      <c r="C18" s="63" t="s">
        <v>10</v>
      </c>
      <c r="D18" s="63" t="s">
        <v>10</v>
      </c>
      <c r="E18" s="63" t="s">
        <v>10</v>
      </c>
      <c r="F18" s="63" t="s">
        <v>10</v>
      </c>
      <c r="G18" s="63" t="s">
        <v>10</v>
      </c>
      <c r="H18" s="63" t="s">
        <v>10</v>
      </c>
      <c r="I18" s="63" t="s">
        <v>10</v>
      </c>
      <c r="J18" s="63" t="s">
        <v>10</v>
      </c>
      <c r="K18" s="63" t="s">
        <v>10</v>
      </c>
      <c r="L18" s="63" t="s">
        <v>10</v>
      </c>
      <c r="M18" s="63" t="s">
        <v>10</v>
      </c>
      <c r="N18" s="63" t="s">
        <v>10</v>
      </c>
      <c r="O18" s="63" t="s">
        <v>10</v>
      </c>
      <c r="P18" s="63" t="s">
        <v>10</v>
      </c>
      <c r="Q18" s="63" t="s">
        <v>10</v>
      </c>
      <c r="R18" s="63" t="s">
        <v>10</v>
      </c>
      <c r="S18" s="63" t="s">
        <v>10</v>
      </c>
      <c r="T18" s="63" t="s">
        <v>10</v>
      </c>
      <c r="U18" s="63" t="s">
        <v>10</v>
      </c>
      <c r="V18" s="63" t="s">
        <v>10</v>
      </c>
      <c r="W18" s="63" t="s">
        <v>10</v>
      </c>
      <c r="X18" s="63" t="s">
        <v>10</v>
      </c>
      <c r="Y18" s="63" t="s">
        <v>10</v>
      </c>
      <c r="Z18" s="63" t="s">
        <v>10</v>
      </c>
      <c r="AA18" s="63" t="s">
        <v>10</v>
      </c>
      <c r="AB18" s="63" t="s">
        <v>10</v>
      </c>
      <c r="AC18" s="63" t="s">
        <v>10</v>
      </c>
      <c r="AD18" s="63" t="s">
        <v>16</v>
      </c>
      <c r="AE18" s="63" t="s">
        <v>16</v>
      </c>
      <c r="AF18" s="63" t="s">
        <v>10</v>
      </c>
      <c r="AG18" s="63" t="s">
        <v>10</v>
      </c>
    </row>
    <row r="20" spans="1:33" x14ac:dyDescent="0.3">
      <c r="A20" s="131" t="s">
        <v>373</v>
      </c>
      <c r="B20" s="132"/>
      <c r="C20" s="132"/>
      <c r="D20" s="132"/>
      <c r="E20" s="132"/>
      <c r="F20" s="132"/>
      <c r="G20" s="132"/>
      <c r="H20" s="132"/>
    </row>
    <row r="21" spans="1:33" ht="28.8" x14ac:dyDescent="0.3">
      <c r="A21" s="43" t="s">
        <v>149</v>
      </c>
      <c r="B21" s="44">
        <f>COUNTA(B22:G22)</f>
        <v>6</v>
      </c>
      <c r="D21" s="64" t="s">
        <v>150</v>
      </c>
      <c r="E21" s="44">
        <f>C48</f>
        <v>8</v>
      </c>
      <c r="F21" s="43" t="s">
        <v>151</v>
      </c>
      <c r="G21" s="44">
        <f>C47</f>
        <v>9</v>
      </c>
    </row>
    <row r="22" spans="1:33" x14ac:dyDescent="0.3">
      <c r="A22" s="40" t="s">
        <v>152</v>
      </c>
      <c r="B22" s="40" t="s">
        <v>153</v>
      </c>
      <c r="C22" s="40" t="s">
        <v>154</v>
      </c>
      <c r="D22" s="40" t="s">
        <v>155</v>
      </c>
      <c r="E22" s="40" t="s">
        <v>156</v>
      </c>
      <c r="F22" s="40" t="s">
        <v>157</v>
      </c>
      <c r="G22" s="40" t="s">
        <v>158</v>
      </c>
    </row>
    <row r="23" spans="1:33" x14ac:dyDescent="0.3">
      <c r="A23" s="41" t="s">
        <v>159</v>
      </c>
      <c r="B23" s="45" t="s">
        <v>10</v>
      </c>
      <c r="C23" s="45" t="s">
        <v>16</v>
      </c>
      <c r="D23" s="45" t="s">
        <v>16</v>
      </c>
      <c r="E23" s="45" t="s">
        <v>16</v>
      </c>
      <c r="F23" s="45" t="s">
        <v>16</v>
      </c>
      <c r="G23" s="45" t="s">
        <v>16</v>
      </c>
    </row>
    <row r="24" spans="1:33" x14ac:dyDescent="0.3">
      <c r="A24" s="41" t="s">
        <v>160</v>
      </c>
      <c r="B24" s="45" t="s">
        <v>10</v>
      </c>
      <c r="C24" s="45" t="s">
        <v>16</v>
      </c>
      <c r="D24" s="45" t="s">
        <v>16</v>
      </c>
      <c r="E24" s="45" t="s">
        <v>10</v>
      </c>
      <c r="F24" s="45" t="s">
        <v>16</v>
      </c>
      <c r="G24" s="45" t="s">
        <v>16</v>
      </c>
    </row>
    <row r="25" spans="1:33" x14ac:dyDescent="0.3">
      <c r="A25" s="41" t="s">
        <v>161</v>
      </c>
      <c r="B25" s="45" t="s">
        <v>10</v>
      </c>
      <c r="C25" s="45" t="s">
        <v>16</v>
      </c>
      <c r="D25" s="45" t="s">
        <v>16</v>
      </c>
      <c r="E25" s="45" t="s">
        <v>16</v>
      </c>
      <c r="F25" s="45" t="s">
        <v>10</v>
      </c>
      <c r="G25" s="45" t="s">
        <v>16</v>
      </c>
    </row>
    <row r="26" spans="1:33" x14ac:dyDescent="0.3">
      <c r="A26" s="41" t="s">
        <v>162</v>
      </c>
      <c r="B26" s="45" t="s">
        <v>10</v>
      </c>
      <c r="C26" s="45" t="s">
        <v>16</v>
      </c>
      <c r="D26" s="45" t="s">
        <v>16</v>
      </c>
      <c r="E26" s="45" t="s">
        <v>16</v>
      </c>
      <c r="F26" s="45" t="s">
        <v>16</v>
      </c>
      <c r="G26" s="45" t="s">
        <v>10</v>
      </c>
    </row>
    <row r="27" spans="1:33" x14ac:dyDescent="0.3">
      <c r="A27" s="41" t="s">
        <v>163</v>
      </c>
      <c r="B27" s="45" t="s">
        <v>10</v>
      </c>
      <c r="C27" s="45" t="s">
        <v>16</v>
      </c>
      <c r="D27" s="45" t="s">
        <v>10</v>
      </c>
      <c r="E27" s="45" t="s">
        <v>16</v>
      </c>
      <c r="F27" s="45" t="s">
        <v>16</v>
      </c>
      <c r="G27" s="45" t="s">
        <v>16</v>
      </c>
    </row>
    <row r="30" spans="1:33" x14ac:dyDescent="0.3">
      <c r="A30" s="40" t="s">
        <v>164</v>
      </c>
      <c r="B30" s="40" t="s">
        <v>153</v>
      </c>
      <c r="C30" s="40" t="s">
        <v>154</v>
      </c>
      <c r="D30" s="40" t="s">
        <v>155</v>
      </c>
      <c r="E30" s="40" t="s">
        <v>156</v>
      </c>
      <c r="F30" s="40" t="s">
        <v>157</v>
      </c>
      <c r="G30" s="40" t="s">
        <v>158</v>
      </c>
    </row>
    <row r="31" spans="1:33" x14ac:dyDescent="0.3">
      <c r="A31" s="41" t="s">
        <v>165</v>
      </c>
      <c r="B31" s="45" t="s">
        <v>16</v>
      </c>
      <c r="C31" s="45" t="s">
        <v>16</v>
      </c>
      <c r="D31" s="45" t="s">
        <v>16</v>
      </c>
      <c r="E31" s="45" t="s">
        <v>10</v>
      </c>
      <c r="F31" s="45" t="s">
        <v>10</v>
      </c>
      <c r="G31" s="45" t="s">
        <v>10</v>
      </c>
    </row>
    <row r="32" spans="1:33" x14ac:dyDescent="0.3">
      <c r="A32" s="41" t="s">
        <v>166</v>
      </c>
      <c r="B32" s="45" t="s">
        <v>10</v>
      </c>
      <c r="C32" s="45" t="s">
        <v>16</v>
      </c>
      <c r="D32" s="45" t="s">
        <v>16</v>
      </c>
      <c r="E32" s="45" t="s">
        <v>10</v>
      </c>
      <c r="F32" s="45" t="s">
        <v>10</v>
      </c>
      <c r="G32" s="45" t="s">
        <v>10</v>
      </c>
    </row>
    <row r="33" spans="1:9" x14ac:dyDescent="0.3">
      <c r="A33" s="41" t="s">
        <v>167</v>
      </c>
      <c r="B33" s="45" t="s">
        <v>10</v>
      </c>
      <c r="C33" s="45" t="s">
        <v>16</v>
      </c>
      <c r="D33" s="45" t="s">
        <v>10</v>
      </c>
      <c r="E33" s="45" t="s">
        <v>10</v>
      </c>
      <c r="F33" s="45" t="s">
        <v>10</v>
      </c>
      <c r="G33" s="45" t="s">
        <v>10</v>
      </c>
    </row>
    <row r="34" spans="1:9" x14ac:dyDescent="0.3">
      <c r="A34" s="41" t="s">
        <v>168</v>
      </c>
      <c r="B34" s="45" t="s">
        <v>10</v>
      </c>
      <c r="C34" s="45" t="s">
        <v>10</v>
      </c>
      <c r="D34" s="45" t="s">
        <v>16</v>
      </c>
      <c r="E34" s="45" t="s">
        <v>10</v>
      </c>
      <c r="F34" s="45" t="s">
        <v>10</v>
      </c>
      <c r="G34" s="45" t="s">
        <v>10</v>
      </c>
    </row>
    <row r="35" spans="1:9" x14ac:dyDescent="0.3">
      <c r="A35" s="41" t="s">
        <v>169</v>
      </c>
      <c r="B35" s="45" t="s">
        <v>10</v>
      </c>
      <c r="C35" s="45" t="s">
        <v>10</v>
      </c>
      <c r="D35" s="45" t="s">
        <v>10</v>
      </c>
      <c r="E35" s="45" t="s">
        <v>16</v>
      </c>
      <c r="F35" s="45" t="s">
        <v>10</v>
      </c>
      <c r="G35" s="45" t="s">
        <v>10</v>
      </c>
      <c r="H35" s="134" t="s">
        <v>374</v>
      </c>
      <c r="I35" s="135"/>
    </row>
    <row r="36" spans="1:9" x14ac:dyDescent="0.3">
      <c r="A36" s="41" t="s">
        <v>170</v>
      </c>
      <c r="B36" s="45" t="s">
        <v>10</v>
      </c>
      <c r="C36" s="45" t="s">
        <v>10</v>
      </c>
      <c r="D36" s="45" t="s">
        <v>10</v>
      </c>
      <c r="E36" s="45" t="s">
        <v>10</v>
      </c>
      <c r="F36" s="45" t="s">
        <v>16</v>
      </c>
      <c r="G36" s="45" t="s">
        <v>10</v>
      </c>
      <c r="H36" s="134"/>
      <c r="I36" s="135"/>
    </row>
    <row r="37" spans="1:9" x14ac:dyDescent="0.3">
      <c r="A37" s="41" t="s">
        <v>171</v>
      </c>
      <c r="B37" s="45" t="s">
        <v>10</v>
      </c>
      <c r="C37" s="45" t="s">
        <v>10</v>
      </c>
      <c r="D37" s="45" t="s">
        <v>10</v>
      </c>
      <c r="E37" s="45" t="s">
        <v>10</v>
      </c>
      <c r="F37" s="45" t="s">
        <v>10</v>
      </c>
      <c r="G37" s="45" t="s">
        <v>16</v>
      </c>
      <c r="H37" s="134"/>
      <c r="I37" s="135"/>
    </row>
    <row r="38" spans="1:9" ht="15" thickBot="1" x14ac:dyDescent="0.35"/>
    <row r="39" spans="1:9" x14ac:dyDescent="0.3">
      <c r="A39" s="46" t="s">
        <v>172</v>
      </c>
      <c r="B39" s="47" t="s">
        <v>173</v>
      </c>
      <c r="C39" s="48" t="s">
        <v>174</v>
      </c>
      <c r="D39" s="49" t="s">
        <v>175</v>
      </c>
    </row>
    <row r="40" spans="1:9" x14ac:dyDescent="0.3">
      <c r="B40" s="50" t="s">
        <v>153</v>
      </c>
      <c r="C40" s="51" t="s">
        <v>40</v>
      </c>
      <c r="D40" s="52">
        <f t="shared" ref="D40:D45" si="0">IF(C40="","",(LEN(C40)-LEN(SUBSTITUTE(C40,"PIM-AE-","")))/7)</f>
        <v>1</v>
      </c>
    </row>
    <row r="41" spans="1:9" x14ac:dyDescent="0.3">
      <c r="B41" s="50" t="s">
        <v>154</v>
      </c>
      <c r="C41" s="51" t="s">
        <v>98</v>
      </c>
      <c r="D41" s="52">
        <f t="shared" si="0"/>
        <v>1</v>
      </c>
    </row>
    <row r="42" spans="1:9" x14ac:dyDescent="0.3">
      <c r="B42" s="50" t="s">
        <v>155</v>
      </c>
      <c r="C42" s="51" t="s">
        <v>176</v>
      </c>
      <c r="D42" s="52">
        <f t="shared" si="0"/>
        <v>1</v>
      </c>
    </row>
    <row r="43" spans="1:9" ht="43.2" x14ac:dyDescent="0.3">
      <c r="B43" s="50" t="s">
        <v>156</v>
      </c>
      <c r="C43" s="51" t="s">
        <v>177</v>
      </c>
      <c r="D43" s="52">
        <f t="shared" si="0"/>
        <v>3</v>
      </c>
    </row>
    <row r="44" spans="1:9" ht="28.8" x14ac:dyDescent="0.3">
      <c r="B44" s="50" t="s">
        <v>157</v>
      </c>
      <c r="C44" s="51" t="s">
        <v>178</v>
      </c>
      <c r="D44" s="52">
        <f t="shared" si="0"/>
        <v>2</v>
      </c>
    </row>
    <row r="45" spans="1:9" ht="15" thickBot="1" x14ac:dyDescent="0.35">
      <c r="B45" s="53" t="s">
        <v>158</v>
      </c>
      <c r="C45" s="54" t="s">
        <v>124</v>
      </c>
      <c r="D45" s="55">
        <f t="shared" si="0"/>
        <v>1</v>
      </c>
    </row>
    <row r="46" spans="1:9" ht="15" thickBot="1" x14ac:dyDescent="0.35"/>
    <row r="47" spans="1:9" x14ac:dyDescent="0.3">
      <c r="B47" s="56" t="s">
        <v>179</v>
      </c>
      <c r="C47" s="57">
        <f>SUM(D40:D45)</f>
        <v>9</v>
      </c>
    </row>
    <row r="48" spans="1:9" ht="43.8" thickBot="1" x14ac:dyDescent="0.35">
      <c r="B48" s="58" t="s">
        <v>180</v>
      </c>
      <c r="C48" s="59">
        <f>SUM(D41:D45)</f>
        <v>8</v>
      </c>
    </row>
    <row r="50" spans="2:4" x14ac:dyDescent="0.3">
      <c r="B50" s="133" t="s">
        <v>181</v>
      </c>
      <c r="C50" s="132"/>
      <c r="D50" s="132"/>
    </row>
  </sheetData>
  <mergeCells count="4">
    <mergeCell ref="A20:H20"/>
    <mergeCell ref="B50:D50"/>
    <mergeCell ref="A1:AG1"/>
    <mergeCell ref="H35:I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8E09-3D04-45C2-900C-8BC374B9BA9B}">
  <dimension ref="A1:AG55"/>
  <sheetViews>
    <sheetView topLeftCell="A32" workbookViewId="0">
      <selection activeCell="C50" sqref="C50:D55"/>
    </sheetView>
  </sheetViews>
  <sheetFormatPr defaultColWidth="9" defaultRowHeight="14.4" x14ac:dyDescent="0.3"/>
  <cols>
    <col min="1" max="1" width="75.109375" style="42" customWidth="1"/>
    <col min="2" max="2" width="27.33203125" style="42" customWidth="1"/>
    <col min="3" max="3" width="27.109375" style="42" customWidth="1"/>
    <col min="4" max="4" width="42" style="42" customWidth="1"/>
    <col min="5" max="5" width="37.33203125" style="42" customWidth="1"/>
    <col min="6" max="30" width="7" style="42" customWidth="1"/>
    <col min="31" max="31" width="12.6640625" style="42" customWidth="1"/>
    <col min="32" max="32" width="13.21875" style="42" customWidth="1"/>
    <col min="33" max="33" width="12.21875" style="42" customWidth="1"/>
    <col min="34" max="16384" width="9" style="42"/>
  </cols>
  <sheetData>
    <row r="1" spans="1:33" ht="75" customHeight="1" x14ac:dyDescent="0.3">
      <c r="A1" s="82" t="s">
        <v>195</v>
      </c>
      <c r="B1" s="75" t="s">
        <v>196</v>
      </c>
      <c r="D1" s="117" t="s">
        <v>408</v>
      </c>
      <c r="E1" s="118" t="s">
        <v>409</v>
      </c>
    </row>
    <row r="2" spans="1:33" ht="106.2" customHeight="1" x14ac:dyDescent="0.3">
      <c r="A2" s="83">
        <v>1</v>
      </c>
      <c r="B2" s="76" t="s">
        <v>391</v>
      </c>
      <c r="D2" s="119" t="s">
        <v>404</v>
      </c>
      <c r="E2" s="120" t="s">
        <v>405</v>
      </c>
    </row>
    <row r="3" spans="1:33" ht="15" thickBot="1" x14ac:dyDescent="0.35">
      <c r="A3" s="83">
        <v>2</v>
      </c>
      <c r="B3" s="76" t="s">
        <v>392</v>
      </c>
      <c r="D3" s="121" t="s">
        <v>406</v>
      </c>
      <c r="E3" s="122" t="s">
        <v>407</v>
      </c>
    </row>
    <row r="4" spans="1:33" ht="29.4" thickBot="1" x14ac:dyDescent="0.35">
      <c r="A4" s="114">
        <v>3</v>
      </c>
      <c r="B4" s="115" t="s">
        <v>393</v>
      </c>
    </row>
    <row r="6" spans="1:33" ht="18" x14ac:dyDescent="0.35">
      <c r="A6" s="136" t="s">
        <v>394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</row>
    <row r="7" spans="1:33" x14ac:dyDescent="0.3">
      <c r="A7" s="137"/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</row>
    <row r="8" spans="1:33" ht="57" customHeight="1" x14ac:dyDescent="0.3">
      <c r="A8" s="94"/>
      <c r="B8" s="138" t="s">
        <v>399</v>
      </c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40" t="s">
        <v>400</v>
      </c>
      <c r="S8" s="141"/>
      <c r="T8" s="141"/>
      <c r="U8" s="141"/>
      <c r="V8" s="141"/>
      <c r="W8" s="141"/>
      <c r="X8" s="141"/>
      <c r="Y8" s="141"/>
      <c r="Z8" s="142" t="s">
        <v>401</v>
      </c>
      <c r="AA8" s="143"/>
      <c r="AB8" s="143"/>
      <c r="AC8" s="143"/>
      <c r="AD8" s="144" t="s">
        <v>402</v>
      </c>
      <c r="AE8" s="145"/>
      <c r="AF8" s="95" t="s">
        <v>389</v>
      </c>
      <c r="AG8" s="96" t="s">
        <v>390</v>
      </c>
    </row>
    <row r="9" spans="1:33" x14ac:dyDescent="0.3">
      <c r="A9" s="97" t="s">
        <v>152</v>
      </c>
      <c r="B9" s="65" t="s">
        <v>153</v>
      </c>
      <c r="C9" s="65" t="s">
        <v>154</v>
      </c>
      <c r="D9" s="65" t="s">
        <v>155</v>
      </c>
      <c r="E9" s="65" t="s">
        <v>156</v>
      </c>
      <c r="F9" s="65" t="s">
        <v>157</v>
      </c>
      <c r="G9" s="65" t="s">
        <v>158</v>
      </c>
      <c r="H9" s="65" t="s">
        <v>347</v>
      </c>
      <c r="I9" s="65" t="s">
        <v>348</v>
      </c>
      <c r="J9" s="65" t="s">
        <v>349</v>
      </c>
      <c r="K9" s="65" t="s">
        <v>350</v>
      </c>
      <c r="L9" s="65" t="s">
        <v>351</v>
      </c>
      <c r="M9" s="65" t="s">
        <v>352</v>
      </c>
      <c r="N9" s="65" t="s">
        <v>353</v>
      </c>
      <c r="O9" s="65" t="s">
        <v>354</v>
      </c>
      <c r="P9" s="65" t="s">
        <v>355</v>
      </c>
      <c r="Q9" s="65" t="s">
        <v>356</v>
      </c>
      <c r="R9" s="66" t="s">
        <v>357</v>
      </c>
      <c r="S9" s="66" t="s">
        <v>358</v>
      </c>
      <c r="T9" s="66" t="s">
        <v>359</v>
      </c>
      <c r="U9" s="66" t="s">
        <v>360</v>
      </c>
      <c r="V9" s="66" t="s">
        <v>361</v>
      </c>
      <c r="W9" s="66" t="s">
        <v>362</v>
      </c>
      <c r="X9" s="66" t="s">
        <v>363</v>
      </c>
      <c r="Y9" s="66" t="s">
        <v>364</v>
      </c>
      <c r="Z9" s="67" t="s">
        <v>365</v>
      </c>
      <c r="AA9" s="67" t="s">
        <v>366</v>
      </c>
      <c r="AB9" s="67" t="s">
        <v>367</v>
      </c>
      <c r="AC9" s="67" t="s">
        <v>368</v>
      </c>
      <c r="AD9" s="68" t="s">
        <v>369</v>
      </c>
      <c r="AE9" s="68" t="s">
        <v>370</v>
      </c>
      <c r="AF9" s="69" t="s">
        <v>371</v>
      </c>
      <c r="AG9" s="98" t="s">
        <v>372</v>
      </c>
    </row>
    <row r="10" spans="1:33" x14ac:dyDescent="0.3">
      <c r="A10" s="99" t="s">
        <v>159</v>
      </c>
      <c r="B10" s="70" t="s">
        <v>10</v>
      </c>
      <c r="C10" s="70" t="s">
        <v>10</v>
      </c>
      <c r="D10" s="70" t="s">
        <v>10</v>
      </c>
      <c r="E10" s="70" t="s">
        <v>10</v>
      </c>
      <c r="F10" s="70" t="s">
        <v>10</v>
      </c>
      <c r="G10" s="70" t="s">
        <v>10</v>
      </c>
      <c r="H10" s="70" t="s">
        <v>10</v>
      </c>
      <c r="I10" s="70" t="s">
        <v>10</v>
      </c>
      <c r="J10" s="70" t="s">
        <v>10</v>
      </c>
      <c r="K10" s="70" t="s">
        <v>10</v>
      </c>
      <c r="L10" s="70" t="s">
        <v>10</v>
      </c>
      <c r="M10" s="70" t="s">
        <v>10</v>
      </c>
      <c r="N10" s="70" t="s">
        <v>10</v>
      </c>
      <c r="O10" s="70" t="s">
        <v>10</v>
      </c>
      <c r="P10" s="70" t="s">
        <v>10</v>
      </c>
      <c r="Q10" s="70" t="s">
        <v>10</v>
      </c>
      <c r="R10" s="71" t="s">
        <v>16</v>
      </c>
      <c r="S10" s="71" t="s">
        <v>16</v>
      </c>
      <c r="T10" s="71" t="s">
        <v>16</v>
      </c>
      <c r="U10" s="71" t="s">
        <v>16</v>
      </c>
      <c r="V10" s="71" t="s">
        <v>16</v>
      </c>
      <c r="W10" s="71" t="s">
        <v>16</v>
      </c>
      <c r="X10" s="71" t="s">
        <v>16</v>
      </c>
      <c r="Y10" s="71" t="s">
        <v>16</v>
      </c>
      <c r="Z10" s="72" t="s">
        <v>16</v>
      </c>
      <c r="AA10" s="72" t="s">
        <v>16</v>
      </c>
      <c r="AB10" s="72" t="s">
        <v>16</v>
      </c>
      <c r="AC10" s="72" t="s">
        <v>16</v>
      </c>
      <c r="AD10" s="73" t="s">
        <v>16</v>
      </c>
      <c r="AE10" s="73" t="s">
        <v>16</v>
      </c>
      <c r="AF10" s="74" t="s">
        <v>16</v>
      </c>
      <c r="AG10" s="100" t="s">
        <v>16</v>
      </c>
    </row>
    <row r="11" spans="1:33" x14ac:dyDescent="0.3">
      <c r="A11" s="101" t="s">
        <v>375</v>
      </c>
      <c r="B11" s="70" t="s">
        <v>10</v>
      </c>
      <c r="C11" s="70" t="s">
        <v>10</v>
      </c>
      <c r="D11" s="70" t="s">
        <v>10</v>
      </c>
      <c r="E11" s="70" t="s">
        <v>10</v>
      </c>
      <c r="F11" s="70" t="s">
        <v>10</v>
      </c>
      <c r="G11" s="70" t="s">
        <v>10</v>
      </c>
      <c r="H11" s="70" t="s">
        <v>10</v>
      </c>
      <c r="I11" s="70" t="s">
        <v>10</v>
      </c>
      <c r="J11" s="70" t="s">
        <v>16</v>
      </c>
      <c r="K11" s="70" t="s">
        <v>16</v>
      </c>
      <c r="L11" s="70" t="s">
        <v>16</v>
      </c>
      <c r="M11" s="70" t="s">
        <v>16</v>
      </c>
      <c r="N11" s="70" t="s">
        <v>16</v>
      </c>
      <c r="O11" s="70" t="s">
        <v>16</v>
      </c>
      <c r="P11" s="70" t="s">
        <v>16</v>
      </c>
      <c r="Q11" s="70" t="s">
        <v>16</v>
      </c>
      <c r="R11" s="71" t="s">
        <v>10</v>
      </c>
      <c r="S11" s="71" t="s">
        <v>10</v>
      </c>
      <c r="T11" s="71" t="s">
        <v>10</v>
      </c>
      <c r="U11" s="71" t="s">
        <v>10</v>
      </c>
      <c r="V11" s="71" t="s">
        <v>10</v>
      </c>
      <c r="W11" s="71" t="s">
        <v>10</v>
      </c>
      <c r="X11" s="71" t="s">
        <v>10</v>
      </c>
      <c r="Y11" s="71" t="s">
        <v>10</v>
      </c>
      <c r="Z11" s="72" t="s">
        <v>16</v>
      </c>
      <c r="AA11" s="72" t="s">
        <v>16</v>
      </c>
      <c r="AB11" s="72" t="s">
        <v>16</v>
      </c>
      <c r="AC11" s="72" t="s">
        <v>16</v>
      </c>
      <c r="AD11" s="73" t="s">
        <v>16</v>
      </c>
      <c r="AE11" s="73" t="s">
        <v>16</v>
      </c>
      <c r="AF11" s="74" t="s">
        <v>16</v>
      </c>
      <c r="AG11" s="100" t="s">
        <v>16</v>
      </c>
    </row>
    <row r="12" spans="1:33" x14ac:dyDescent="0.3">
      <c r="A12" s="101" t="s">
        <v>376</v>
      </c>
      <c r="B12" s="70" t="s">
        <v>10</v>
      </c>
      <c r="C12" s="70" t="s">
        <v>10</v>
      </c>
      <c r="D12" s="70" t="s">
        <v>10</v>
      </c>
      <c r="E12" s="70" t="s">
        <v>10</v>
      </c>
      <c r="F12" s="70" t="s">
        <v>16</v>
      </c>
      <c r="G12" s="70" t="s">
        <v>16</v>
      </c>
      <c r="H12" s="70" t="s">
        <v>16</v>
      </c>
      <c r="I12" s="70" t="s">
        <v>16</v>
      </c>
      <c r="J12" s="70" t="s">
        <v>10</v>
      </c>
      <c r="K12" s="70" t="s">
        <v>10</v>
      </c>
      <c r="L12" s="70" t="s">
        <v>10</v>
      </c>
      <c r="M12" s="70" t="s">
        <v>10</v>
      </c>
      <c r="N12" s="70" t="s">
        <v>16</v>
      </c>
      <c r="O12" s="70" t="s">
        <v>16</v>
      </c>
      <c r="P12" s="70" t="s">
        <v>16</v>
      </c>
      <c r="Q12" s="70" t="s">
        <v>16</v>
      </c>
      <c r="R12" s="71" t="s">
        <v>10</v>
      </c>
      <c r="S12" s="71" t="s">
        <v>10</v>
      </c>
      <c r="T12" s="71" t="s">
        <v>10</v>
      </c>
      <c r="U12" s="71" t="s">
        <v>10</v>
      </c>
      <c r="V12" s="71" t="s">
        <v>16</v>
      </c>
      <c r="W12" s="71" t="s">
        <v>16</v>
      </c>
      <c r="X12" s="71" t="s">
        <v>16</v>
      </c>
      <c r="Y12" s="71" t="s">
        <v>16</v>
      </c>
      <c r="Z12" s="72" t="s">
        <v>10</v>
      </c>
      <c r="AA12" s="72" t="s">
        <v>10</v>
      </c>
      <c r="AB12" s="72" t="s">
        <v>10</v>
      </c>
      <c r="AC12" s="72" t="s">
        <v>10</v>
      </c>
      <c r="AD12" s="73" t="s">
        <v>16</v>
      </c>
      <c r="AE12" s="73" t="s">
        <v>16</v>
      </c>
      <c r="AF12" s="74" t="s">
        <v>16</v>
      </c>
      <c r="AG12" s="100" t="s">
        <v>16</v>
      </c>
    </row>
    <row r="13" spans="1:33" x14ac:dyDescent="0.3">
      <c r="A13" s="101" t="s">
        <v>162</v>
      </c>
      <c r="B13" s="70" t="s">
        <v>10</v>
      </c>
      <c r="C13" s="70" t="s">
        <v>10</v>
      </c>
      <c r="D13" s="70" t="s">
        <v>16</v>
      </c>
      <c r="E13" s="70" t="s">
        <v>16</v>
      </c>
      <c r="F13" s="70" t="s">
        <v>10</v>
      </c>
      <c r="G13" s="70" t="s">
        <v>10</v>
      </c>
      <c r="H13" s="70" t="s">
        <v>16</v>
      </c>
      <c r="I13" s="70" t="s">
        <v>16</v>
      </c>
      <c r="J13" s="70" t="s">
        <v>10</v>
      </c>
      <c r="K13" s="70" t="s">
        <v>10</v>
      </c>
      <c r="L13" s="70" t="s">
        <v>16</v>
      </c>
      <c r="M13" s="70" t="s">
        <v>16</v>
      </c>
      <c r="N13" s="70" t="s">
        <v>10</v>
      </c>
      <c r="O13" s="70" t="s">
        <v>10</v>
      </c>
      <c r="P13" s="70" t="s">
        <v>16</v>
      </c>
      <c r="Q13" s="70" t="s">
        <v>16</v>
      </c>
      <c r="R13" s="71" t="s">
        <v>10</v>
      </c>
      <c r="S13" s="71" t="s">
        <v>10</v>
      </c>
      <c r="T13" s="71" t="s">
        <v>16</v>
      </c>
      <c r="U13" s="71" t="s">
        <v>16</v>
      </c>
      <c r="V13" s="71" t="s">
        <v>10</v>
      </c>
      <c r="W13" s="71" t="s">
        <v>10</v>
      </c>
      <c r="X13" s="71" t="s">
        <v>16</v>
      </c>
      <c r="Y13" s="71" t="s">
        <v>16</v>
      </c>
      <c r="Z13" s="72" t="s">
        <v>10</v>
      </c>
      <c r="AA13" s="72" t="s">
        <v>10</v>
      </c>
      <c r="AB13" s="72" t="s">
        <v>16</v>
      </c>
      <c r="AC13" s="72" t="s">
        <v>16</v>
      </c>
      <c r="AD13" s="73" t="s">
        <v>10</v>
      </c>
      <c r="AE13" s="73" t="s">
        <v>10</v>
      </c>
      <c r="AF13" s="74" t="s">
        <v>16</v>
      </c>
      <c r="AG13" s="100" t="s">
        <v>16</v>
      </c>
    </row>
    <row r="14" spans="1:33" x14ac:dyDescent="0.3">
      <c r="A14" s="101" t="s">
        <v>163</v>
      </c>
      <c r="B14" s="70" t="s">
        <v>10</v>
      </c>
      <c r="C14" s="70" t="s">
        <v>16</v>
      </c>
      <c r="D14" s="70" t="s">
        <v>10</v>
      </c>
      <c r="E14" s="70" t="s">
        <v>16</v>
      </c>
      <c r="F14" s="70" t="s">
        <v>10</v>
      </c>
      <c r="G14" s="70" t="s">
        <v>16</v>
      </c>
      <c r="H14" s="70" t="s">
        <v>10</v>
      </c>
      <c r="I14" s="70" t="s">
        <v>16</v>
      </c>
      <c r="J14" s="70" t="s">
        <v>10</v>
      </c>
      <c r="K14" s="70" t="s">
        <v>16</v>
      </c>
      <c r="L14" s="70" t="s">
        <v>10</v>
      </c>
      <c r="M14" s="70" t="s">
        <v>16</v>
      </c>
      <c r="N14" s="70" t="s">
        <v>10</v>
      </c>
      <c r="O14" s="70" t="s">
        <v>16</v>
      </c>
      <c r="P14" s="70" t="s">
        <v>10</v>
      </c>
      <c r="Q14" s="70" t="s">
        <v>16</v>
      </c>
      <c r="R14" s="71" t="s">
        <v>10</v>
      </c>
      <c r="S14" s="71" t="s">
        <v>16</v>
      </c>
      <c r="T14" s="71" t="s">
        <v>10</v>
      </c>
      <c r="U14" s="71" t="s">
        <v>16</v>
      </c>
      <c r="V14" s="71" t="s">
        <v>10</v>
      </c>
      <c r="W14" s="71" t="s">
        <v>16</v>
      </c>
      <c r="X14" s="71" t="s">
        <v>10</v>
      </c>
      <c r="Y14" s="71" t="s">
        <v>16</v>
      </c>
      <c r="Z14" s="72" t="s">
        <v>10</v>
      </c>
      <c r="AA14" s="72" t="s">
        <v>16</v>
      </c>
      <c r="AB14" s="72" t="s">
        <v>10</v>
      </c>
      <c r="AC14" s="72" t="s">
        <v>16</v>
      </c>
      <c r="AD14" s="73" t="s">
        <v>10</v>
      </c>
      <c r="AE14" s="73" t="s">
        <v>16</v>
      </c>
      <c r="AF14" s="74" t="s">
        <v>10</v>
      </c>
      <c r="AG14" s="100" t="s">
        <v>16</v>
      </c>
    </row>
    <row r="15" spans="1:33" x14ac:dyDescent="0.3">
      <c r="A15" s="102"/>
      <c r="AG15" s="103"/>
    </row>
    <row r="16" spans="1:33" x14ac:dyDescent="0.3">
      <c r="A16" s="97" t="s">
        <v>164</v>
      </c>
      <c r="B16" s="77" t="s">
        <v>153</v>
      </c>
      <c r="C16" s="77" t="s">
        <v>154</v>
      </c>
      <c r="D16" s="77" t="s">
        <v>155</v>
      </c>
      <c r="E16" s="77" t="s">
        <v>156</v>
      </c>
      <c r="F16" s="77" t="s">
        <v>157</v>
      </c>
      <c r="G16" s="77" t="s">
        <v>158</v>
      </c>
      <c r="H16" s="77" t="s">
        <v>347</v>
      </c>
      <c r="I16" s="77" t="s">
        <v>348</v>
      </c>
      <c r="J16" s="77" t="s">
        <v>349</v>
      </c>
      <c r="K16" s="77" t="s">
        <v>350</v>
      </c>
      <c r="L16" s="77" t="s">
        <v>351</v>
      </c>
      <c r="M16" s="77" t="s">
        <v>352</v>
      </c>
      <c r="N16" s="77" t="s">
        <v>353</v>
      </c>
      <c r="O16" s="77" t="s">
        <v>354</v>
      </c>
      <c r="P16" s="77" t="s">
        <v>355</v>
      </c>
      <c r="Q16" s="77" t="s">
        <v>356</v>
      </c>
      <c r="R16" s="78" t="s">
        <v>357</v>
      </c>
      <c r="S16" s="78" t="s">
        <v>358</v>
      </c>
      <c r="T16" s="78" t="s">
        <v>359</v>
      </c>
      <c r="U16" s="78" t="s">
        <v>360</v>
      </c>
      <c r="V16" s="78" t="s">
        <v>361</v>
      </c>
      <c r="W16" s="78" t="s">
        <v>362</v>
      </c>
      <c r="X16" s="78" t="s">
        <v>363</v>
      </c>
      <c r="Y16" s="78" t="s">
        <v>364</v>
      </c>
      <c r="Z16" s="79" t="s">
        <v>365</v>
      </c>
      <c r="AA16" s="79" t="s">
        <v>366</v>
      </c>
      <c r="AB16" s="79" t="s">
        <v>367</v>
      </c>
      <c r="AC16" s="79" t="s">
        <v>368</v>
      </c>
      <c r="AD16" s="80" t="s">
        <v>369</v>
      </c>
      <c r="AE16" s="80" t="s">
        <v>370</v>
      </c>
      <c r="AF16" s="81" t="s">
        <v>371</v>
      </c>
      <c r="AG16" s="104" t="s">
        <v>372</v>
      </c>
    </row>
    <row r="17" spans="1:33" x14ac:dyDescent="0.3">
      <c r="A17" s="105" t="s">
        <v>165</v>
      </c>
      <c r="B17" s="84" t="s">
        <v>395</v>
      </c>
      <c r="C17" s="84" t="s">
        <v>395</v>
      </c>
      <c r="D17" s="84" t="s">
        <v>395</v>
      </c>
      <c r="E17" s="84" t="s">
        <v>395</v>
      </c>
      <c r="F17" s="84" t="s">
        <v>395</v>
      </c>
      <c r="G17" s="84" t="s">
        <v>395</v>
      </c>
      <c r="H17" s="84" t="s">
        <v>395</v>
      </c>
      <c r="I17" s="84" t="s">
        <v>395</v>
      </c>
      <c r="J17" s="84" t="s">
        <v>395</v>
      </c>
      <c r="K17" s="84" t="s">
        <v>395</v>
      </c>
      <c r="L17" s="84" t="s">
        <v>395</v>
      </c>
      <c r="M17" s="84" t="s">
        <v>395</v>
      </c>
      <c r="N17" s="84" t="s">
        <v>395</v>
      </c>
      <c r="O17" s="84" t="s">
        <v>395</v>
      </c>
      <c r="P17" s="84" t="s">
        <v>395</v>
      </c>
      <c r="Q17" s="84" t="s">
        <v>395</v>
      </c>
      <c r="R17" s="85"/>
      <c r="S17" s="85"/>
      <c r="T17" s="85"/>
      <c r="U17" s="85"/>
      <c r="V17" s="85"/>
      <c r="W17" s="85"/>
      <c r="X17" s="85"/>
      <c r="Y17" s="85"/>
      <c r="Z17" s="86"/>
      <c r="AA17" s="86"/>
      <c r="AB17" s="86"/>
      <c r="AC17" s="86"/>
      <c r="AD17" s="87"/>
      <c r="AE17" s="87"/>
      <c r="AF17" s="88" t="s">
        <v>395</v>
      </c>
      <c r="AG17" s="106" t="s">
        <v>395</v>
      </c>
    </row>
    <row r="18" spans="1:33" x14ac:dyDescent="0.3">
      <c r="A18" s="105" t="s">
        <v>403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5"/>
      <c r="S18" s="85"/>
      <c r="T18" s="85"/>
      <c r="U18" s="85"/>
      <c r="V18" s="85"/>
      <c r="W18" s="85"/>
      <c r="X18" s="85"/>
      <c r="Y18" s="85"/>
      <c r="Z18" s="86"/>
      <c r="AA18" s="86"/>
      <c r="AB18" s="86"/>
      <c r="AC18" s="86"/>
      <c r="AD18" s="87"/>
      <c r="AE18" s="87"/>
      <c r="AF18" s="88" t="s">
        <v>395</v>
      </c>
      <c r="AG18" s="106" t="s">
        <v>395</v>
      </c>
    </row>
    <row r="19" spans="1:33" x14ac:dyDescent="0.3">
      <c r="A19" s="105" t="s">
        <v>167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5"/>
      <c r="S19" s="85"/>
      <c r="T19" s="85"/>
      <c r="U19" s="85"/>
      <c r="V19" s="85"/>
      <c r="W19" s="85"/>
      <c r="X19" s="85"/>
      <c r="Y19" s="85"/>
      <c r="Z19" s="86"/>
      <c r="AA19" s="86"/>
      <c r="AB19" s="86"/>
      <c r="AC19" s="86"/>
      <c r="AD19" s="87"/>
      <c r="AE19" s="87"/>
      <c r="AF19" s="88"/>
      <c r="AG19" s="106" t="s">
        <v>395</v>
      </c>
    </row>
    <row r="20" spans="1:33" x14ac:dyDescent="0.3">
      <c r="A20" s="105" t="s">
        <v>168</v>
      </c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5"/>
      <c r="S20" s="85"/>
      <c r="T20" s="85"/>
      <c r="U20" s="85"/>
      <c r="V20" s="85"/>
      <c r="W20" s="85"/>
      <c r="X20" s="85"/>
      <c r="Y20" s="85"/>
      <c r="Z20" s="86"/>
      <c r="AA20" s="86"/>
      <c r="AB20" s="86"/>
      <c r="AC20" s="86"/>
      <c r="AD20" s="87"/>
      <c r="AE20" s="87"/>
      <c r="AF20" s="88" t="s">
        <v>395</v>
      </c>
      <c r="AG20" s="106"/>
    </row>
    <row r="21" spans="1:33" x14ac:dyDescent="0.3">
      <c r="A21" s="107" t="s">
        <v>398</v>
      </c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9" t="s">
        <v>395</v>
      </c>
      <c r="S21" s="109" t="s">
        <v>395</v>
      </c>
      <c r="T21" s="109" t="s">
        <v>395</v>
      </c>
      <c r="U21" s="109" t="s">
        <v>395</v>
      </c>
      <c r="V21" s="109" t="s">
        <v>395</v>
      </c>
      <c r="W21" s="109" t="s">
        <v>395</v>
      </c>
      <c r="X21" s="109" t="s">
        <v>395</v>
      </c>
      <c r="Y21" s="109" t="s">
        <v>395</v>
      </c>
      <c r="Z21" s="110" t="s">
        <v>395</v>
      </c>
      <c r="AA21" s="110" t="s">
        <v>395</v>
      </c>
      <c r="AB21" s="110" t="s">
        <v>395</v>
      </c>
      <c r="AC21" s="110" t="s">
        <v>395</v>
      </c>
      <c r="AD21" s="111" t="s">
        <v>395</v>
      </c>
      <c r="AE21" s="111" t="s">
        <v>395</v>
      </c>
      <c r="AF21" s="112"/>
      <c r="AG21" s="113"/>
    </row>
    <row r="23" spans="1:33" ht="13.8" customHeight="1" x14ac:dyDescent="0.3">
      <c r="A23" s="93"/>
    </row>
    <row r="25" spans="1:33" x14ac:dyDescent="0.3">
      <c r="A25" s="123" t="s">
        <v>377</v>
      </c>
      <c r="B25" s="116"/>
      <c r="C25" s="116"/>
    </row>
    <row r="26" spans="1:33" x14ac:dyDescent="0.3">
      <c r="A26" s="124" t="s">
        <v>378</v>
      </c>
      <c r="B26" s="124" t="s">
        <v>379</v>
      </c>
      <c r="C26" s="124" t="s">
        <v>380</v>
      </c>
    </row>
    <row r="27" spans="1:33" ht="28.8" x14ac:dyDescent="0.3">
      <c r="A27" s="125"/>
      <c r="B27" s="125" t="s">
        <v>381</v>
      </c>
      <c r="C27" s="125" t="s">
        <v>382</v>
      </c>
    </row>
    <row r="28" spans="1:33" ht="28.8" x14ac:dyDescent="0.3">
      <c r="A28" s="126"/>
      <c r="B28" s="126" t="s">
        <v>383</v>
      </c>
      <c r="C28" s="126" t="s">
        <v>384</v>
      </c>
    </row>
    <row r="29" spans="1:33" ht="28.8" x14ac:dyDescent="0.3">
      <c r="A29" s="127"/>
      <c r="B29" s="127" t="s">
        <v>385</v>
      </c>
      <c r="C29" s="127" t="s">
        <v>386</v>
      </c>
    </row>
    <row r="30" spans="1:33" ht="28.8" x14ac:dyDescent="0.3">
      <c r="A30" s="128"/>
      <c r="B30" s="128" t="s">
        <v>387</v>
      </c>
      <c r="C30" s="128" t="s">
        <v>388</v>
      </c>
    </row>
    <row r="31" spans="1:33" ht="28.8" x14ac:dyDescent="0.3">
      <c r="A31" s="129"/>
      <c r="B31" s="129" t="s">
        <v>371</v>
      </c>
      <c r="C31" s="129" t="s">
        <v>389</v>
      </c>
    </row>
    <row r="32" spans="1:33" ht="28.8" x14ac:dyDescent="0.3">
      <c r="A32" s="130"/>
      <c r="B32" s="130" t="s">
        <v>372</v>
      </c>
      <c r="C32" s="130" t="s">
        <v>390</v>
      </c>
    </row>
    <row r="34" spans="1:8" x14ac:dyDescent="0.3">
      <c r="A34" s="131" t="s">
        <v>373</v>
      </c>
      <c r="B34" s="132"/>
      <c r="C34" s="132"/>
      <c r="D34" s="132"/>
      <c r="E34" s="132"/>
      <c r="F34" s="132"/>
      <c r="G34" s="132"/>
      <c r="H34" s="132"/>
    </row>
    <row r="35" spans="1:8" x14ac:dyDescent="0.3">
      <c r="A35" s="43" t="s">
        <v>149</v>
      </c>
      <c r="B35" s="44">
        <f>COUNTA(B36:G36)</f>
        <v>6</v>
      </c>
    </row>
    <row r="36" spans="1:8" x14ac:dyDescent="0.3">
      <c r="A36" s="40" t="s">
        <v>152</v>
      </c>
      <c r="B36" s="40" t="s">
        <v>153</v>
      </c>
      <c r="C36" s="91" t="s">
        <v>154</v>
      </c>
      <c r="D36" s="40" t="s">
        <v>155</v>
      </c>
      <c r="E36" s="40" t="s">
        <v>156</v>
      </c>
      <c r="F36" s="40" t="s">
        <v>157</v>
      </c>
      <c r="G36" s="40" t="s">
        <v>158</v>
      </c>
    </row>
    <row r="37" spans="1:8" x14ac:dyDescent="0.3">
      <c r="A37" s="89" t="s">
        <v>159</v>
      </c>
      <c r="B37" s="90" t="s">
        <v>10</v>
      </c>
      <c r="C37" s="92" t="s">
        <v>16</v>
      </c>
      <c r="D37" s="45" t="s">
        <v>16</v>
      </c>
      <c r="E37" s="45" t="s">
        <v>16</v>
      </c>
      <c r="F37" s="45" t="s">
        <v>16</v>
      </c>
      <c r="G37" s="45" t="s">
        <v>16</v>
      </c>
    </row>
    <row r="38" spans="1:8" x14ac:dyDescent="0.3">
      <c r="A38" s="89" t="s">
        <v>375</v>
      </c>
      <c r="B38" s="90" t="s">
        <v>396</v>
      </c>
      <c r="C38" s="92" t="s">
        <v>10</v>
      </c>
      <c r="D38" s="45" t="s">
        <v>16</v>
      </c>
      <c r="E38" s="45" t="s">
        <v>16</v>
      </c>
      <c r="F38" s="45" t="s">
        <v>16</v>
      </c>
      <c r="G38" s="45" t="s">
        <v>16</v>
      </c>
    </row>
    <row r="39" spans="1:8" x14ac:dyDescent="0.3">
      <c r="A39" s="89" t="s">
        <v>376</v>
      </c>
      <c r="B39" s="90" t="s">
        <v>396</v>
      </c>
      <c r="C39" s="92" t="s">
        <v>396</v>
      </c>
      <c r="D39" s="45" t="s">
        <v>10</v>
      </c>
      <c r="E39" s="45" t="s">
        <v>16</v>
      </c>
      <c r="F39" s="45" t="s">
        <v>16</v>
      </c>
      <c r="G39" s="45" t="s">
        <v>16</v>
      </c>
    </row>
    <row r="40" spans="1:8" x14ac:dyDescent="0.3">
      <c r="A40" s="89" t="s">
        <v>397</v>
      </c>
      <c r="B40" s="90" t="s">
        <v>396</v>
      </c>
      <c r="C40" s="92" t="s">
        <v>396</v>
      </c>
      <c r="D40" s="45" t="s">
        <v>396</v>
      </c>
      <c r="E40" s="45" t="s">
        <v>10</v>
      </c>
      <c r="F40" s="45" t="s">
        <v>16</v>
      </c>
      <c r="G40" s="45" t="s">
        <v>16</v>
      </c>
    </row>
    <row r="41" spans="1:8" x14ac:dyDescent="0.3">
      <c r="A41" s="89" t="s">
        <v>163</v>
      </c>
      <c r="B41" s="90" t="s">
        <v>396</v>
      </c>
      <c r="C41" s="92" t="s">
        <v>396</v>
      </c>
      <c r="D41" s="45" t="s">
        <v>396</v>
      </c>
      <c r="E41" s="45" t="s">
        <v>396</v>
      </c>
      <c r="F41" s="45" t="s">
        <v>10</v>
      </c>
      <c r="G41" s="45" t="s">
        <v>16</v>
      </c>
    </row>
    <row r="42" spans="1:8" x14ac:dyDescent="0.3">
      <c r="A42" s="40" t="s">
        <v>164</v>
      </c>
      <c r="B42" s="40" t="s">
        <v>153</v>
      </c>
      <c r="C42" s="40" t="s">
        <v>154</v>
      </c>
      <c r="D42" s="40" t="s">
        <v>155</v>
      </c>
      <c r="E42" s="40" t="s">
        <v>156</v>
      </c>
      <c r="F42" s="40" t="s">
        <v>157</v>
      </c>
      <c r="G42" s="40" t="s">
        <v>158</v>
      </c>
    </row>
    <row r="43" spans="1:8" x14ac:dyDescent="0.3">
      <c r="A43" s="41" t="s">
        <v>165</v>
      </c>
      <c r="B43" s="90" t="s">
        <v>395</v>
      </c>
      <c r="C43" s="90"/>
      <c r="D43" s="90"/>
      <c r="E43" s="90"/>
      <c r="F43" s="90" t="s">
        <v>395</v>
      </c>
      <c r="G43" s="90" t="s">
        <v>395</v>
      </c>
    </row>
    <row r="44" spans="1:8" x14ac:dyDescent="0.3">
      <c r="A44" s="41" t="s">
        <v>166</v>
      </c>
      <c r="B44" s="90"/>
      <c r="C44" s="90"/>
      <c r="D44" s="90"/>
      <c r="E44" s="90"/>
      <c r="F44" s="90" t="s">
        <v>395</v>
      </c>
      <c r="G44" s="90" t="s">
        <v>395</v>
      </c>
    </row>
    <row r="45" spans="1:8" x14ac:dyDescent="0.3">
      <c r="A45" s="41" t="s">
        <v>167</v>
      </c>
      <c r="B45" s="90"/>
      <c r="C45" s="90"/>
      <c r="D45" s="90"/>
      <c r="E45" s="90"/>
      <c r="F45" s="90"/>
      <c r="G45" s="90" t="s">
        <v>395</v>
      </c>
    </row>
    <row r="46" spans="1:8" x14ac:dyDescent="0.3">
      <c r="A46" s="41" t="s">
        <v>168</v>
      </c>
      <c r="B46" s="90"/>
      <c r="C46" s="90"/>
      <c r="D46" s="90"/>
      <c r="E46" s="90"/>
      <c r="F46" s="90" t="s">
        <v>395</v>
      </c>
      <c r="G46" s="90"/>
    </row>
    <row r="47" spans="1:8" x14ac:dyDescent="0.3">
      <c r="A47" s="41" t="s">
        <v>398</v>
      </c>
      <c r="B47" s="90"/>
      <c r="C47" s="90" t="s">
        <v>395</v>
      </c>
      <c r="D47" s="90" t="s">
        <v>395</v>
      </c>
      <c r="E47" s="90" t="s">
        <v>395</v>
      </c>
      <c r="F47" s="90"/>
      <c r="G47" s="90"/>
    </row>
    <row r="48" spans="1:8" ht="15" thickBot="1" x14ac:dyDescent="0.35"/>
    <row r="49" spans="1:4" x14ac:dyDescent="0.3">
      <c r="A49" s="46" t="s">
        <v>172</v>
      </c>
      <c r="B49" s="47" t="s">
        <v>173</v>
      </c>
      <c r="C49" s="48" t="s">
        <v>174</v>
      </c>
      <c r="D49" s="49" t="s">
        <v>175</v>
      </c>
    </row>
    <row r="50" spans="1:4" x14ac:dyDescent="0.3">
      <c r="B50" s="50" t="s">
        <v>153</v>
      </c>
      <c r="C50" s="152" t="s">
        <v>40</v>
      </c>
      <c r="D50" s="52">
        <f t="shared" ref="D50:D55" si="0">IF(C50="","",(LEN(C50)-LEN(SUBSTITUTE(C50,"PIM-AE-","")))/7)</f>
        <v>1</v>
      </c>
    </row>
    <row r="51" spans="1:4" x14ac:dyDescent="0.3">
      <c r="B51" s="50" t="s">
        <v>154</v>
      </c>
      <c r="C51" s="51" t="s">
        <v>98</v>
      </c>
      <c r="D51" s="52">
        <f t="shared" si="0"/>
        <v>1</v>
      </c>
    </row>
    <row r="52" spans="1:4" x14ac:dyDescent="0.3">
      <c r="B52" s="50" t="s">
        <v>155</v>
      </c>
      <c r="C52" s="51" t="s">
        <v>176</v>
      </c>
      <c r="D52" s="52">
        <f t="shared" si="0"/>
        <v>1</v>
      </c>
    </row>
    <row r="53" spans="1:4" ht="28.8" x14ac:dyDescent="0.3">
      <c r="B53" s="50" t="s">
        <v>156</v>
      </c>
      <c r="C53" s="51" t="s">
        <v>177</v>
      </c>
      <c r="D53" s="52">
        <f t="shared" si="0"/>
        <v>3</v>
      </c>
    </row>
    <row r="54" spans="1:4" x14ac:dyDescent="0.3">
      <c r="B54" s="50" t="s">
        <v>157</v>
      </c>
      <c r="C54" s="51" t="s">
        <v>178</v>
      </c>
      <c r="D54" s="52">
        <f t="shared" si="0"/>
        <v>2</v>
      </c>
    </row>
    <row r="55" spans="1:4" ht="15" thickBot="1" x14ac:dyDescent="0.35">
      <c r="B55" s="53" t="s">
        <v>158</v>
      </c>
      <c r="C55" s="54" t="s">
        <v>124</v>
      </c>
      <c r="D55" s="55">
        <f t="shared" si="0"/>
        <v>1</v>
      </c>
    </row>
  </sheetData>
  <mergeCells count="7">
    <mergeCell ref="A34:H34"/>
    <mergeCell ref="A6:AG6"/>
    <mergeCell ref="A7:AG7"/>
    <mergeCell ref="B8:Q8"/>
    <mergeCell ref="R8:Y8"/>
    <mergeCell ref="Z8:AC8"/>
    <mergeCell ref="AD8:AE8"/>
  </mergeCells>
  <hyperlinks>
    <hyperlink ref="B2" r:id="rId1" display="Truy cập được trang demo OrangeHRM: https://opensource-demo.orangehrmlive.com/" xr:uid="{192F47C0-101E-47D7-9339-702EEE1E596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6"/>
  <sheetViews>
    <sheetView tabSelected="1" topLeftCell="A43" zoomScale="85" zoomScaleNormal="85" workbookViewId="0">
      <selection activeCell="B45" sqref="B45"/>
    </sheetView>
  </sheetViews>
  <sheetFormatPr defaultColWidth="9" defaultRowHeight="14.4" x14ac:dyDescent="0.25"/>
  <cols>
    <col min="1" max="6" width="60" customWidth="1"/>
    <col min="7" max="7" width="53" customWidth="1"/>
  </cols>
  <sheetData>
    <row r="1" spans="1:7" ht="15.75" customHeight="1" x14ac:dyDescent="0.3">
      <c r="A1" s="1" t="s">
        <v>174</v>
      </c>
      <c r="B1" s="2" t="s">
        <v>182</v>
      </c>
      <c r="C1" s="3" t="s">
        <v>183</v>
      </c>
      <c r="D1" s="4" t="s">
        <v>184</v>
      </c>
      <c r="E1" s="4"/>
      <c r="F1" s="32"/>
    </row>
    <row r="2" spans="1:7" ht="15.75" customHeight="1" x14ac:dyDescent="0.3">
      <c r="A2" s="5" t="s">
        <v>185</v>
      </c>
      <c r="B2" s="2" t="s">
        <v>186</v>
      </c>
      <c r="C2" s="1" t="s">
        <v>187</v>
      </c>
      <c r="D2" s="6"/>
      <c r="E2" s="33" t="s">
        <v>188</v>
      </c>
      <c r="F2" s="2">
        <v>1</v>
      </c>
    </row>
    <row r="3" spans="1:7" ht="15.75" customHeight="1" x14ac:dyDescent="0.3">
      <c r="A3" s="7"/>
      <c r="B3" s="7"/>
      <c r="C3" s="7"/>
      <c r="D3" s="7"/>
      <c r="E3" s="7"/>
      <c r="F3" s="7"/>
    </row>
    <row r="4" spans="1:7" ht="15.75" customHeight="1" x14ac:dyDescent="0.3">
      <c r="A4" s="1" t="s">
        <v>189</v>
      </c>
      <c r="B4" s="8"/>
      <c r="C4" s="7"/>
      <c r="D4" s="7"/>
      <c r="E4" s="7"/>
      <c r="F4" s="7"/>
    </row>
    <row r="5" spans="1:7" ht="15.75" customHeight="1" x14ac:dyDescent="0.3">
      <c r="A5" s="7"/>
      <c r="B5" s="7"/>
      <c r="C5" s="7"/>
      <c r="D5" s="7"/>
      <c r="E5" s="7"/>
      <c r="F5" s="7"/>
    </row>
    <row r="6" spans="1:7" ht="15.75" customHeight="1" x14ac:dyDescent="0.3">
      <c r="A6" s="5" t="s">
        <v>190</v>
      </c>
      <c r="B6" s="2" t="s">
        <v>191</v>
      </c>
      <c r="C6" s="5" t="s">
        <v>192</v>
      </c>
      <c r="D6" s="9">
        <v>46049</v>
      </c>
      <c r="E6" s="5" t="s">
        <v>193</v>
      </c>
      <c r="F6" s="2" t="s">
        <v>194</v>
      </c>
    </row>
    <row r="7" spans="1:7" ht="15.75" customHeight="1" x14ac:dyDescent="0.25"/>
    <row r="8" spans="1:7" ht="15" x14ac:dyDescent="0.3">
      <c r="A8" s="10" t="s">
        <v>195</v>
      </c>
      <c r="B8" s="75" t="s">
        <v>196</v>
      </c>
      <c r="C8" s="7"/>
      <c r="D8" s="7"/>
      <c r="E8" s="10" t="s">
        <v>195</v>
      </c>
      <c r="F8" s="11" t="s">
        <v>197</v>
      </c>
      <c r="G8" s="7"/>
    </row>
    <row r="9" spans="1:7" ht="45" customHeight="1" x14ac:dyDescent="0.3">
      <c r="A9" s="12">
        <v>1</v>
      </c>
      <c r="B9" s="13" t="s">
        <v>198</v>
      </c>
      <c r="C9" s="7"/>
      <c r="D9" s="7"/>
      <c r="E9" s="12">
        <v>1</v>
      </c>
      <c r="F9" s="13" t="s">
        <v>199</v>
      </c>
      <c r="G9" s="7"/>
    </row>
    <row r="10" spans="1:7" ht="30" customHeight="1" x14ac:dyDescent="0.3">
      <c r="A10" s="12">
        <v>2</v>
      </c>
      <c r="B10" s="13" t="s">
        <v>200</v>
      </c>
      <c r="C10" s="7"/>
      <c r="D10" s="7"/>
      <c r="E10" s="12">
        <v>2</v>
      </c>
      <c r="F10" s="13" t="s">
        <v>201</v>
      </c>
      <c r="G10" s="7"/>
    </row>
    <row r="11" spans="1:7" ht="45" customHeight="1" x14ac:dyDescent="0.3">
      <c r="A11" s="12">
        <v>3</v>
      </c>
      <c r="B11" s="13" t="s">
        <v>202</v>
      </c>
      <c r="C11" s="7"/>
      <c r="D11" s="7"/>
      <c r="E11" s="12">
        <v>3</v>
      </c>
      <c r="F11" s="13" t="s">
        <v>203</v>
      </c>
      <c r="G11" s="7"/>
    </row>
    <row r="12" spans="1:7" ht="45" customHeight="1" x14ac:dyDescent="0.3">
      <c r="A12" s="12">
        <v>4</v>
      </c>
      <c r="B12" s="13" t="s">
        <v>204</v>
      </c>
      <c r="C12" s="7"/>
      <c r="D12" s="7"/>
      <c r="E12" s="12">
        <v>4</v>
      </c>
      <c r="F12" s="13" t="s">
        <v>205</v>
      </c>
      <c r="G12" s="7"/>
    </row>
    <row r="13" spans="1:7" ht="45.75" customHeight="1" x14ac:dyDescent="0.3">
      <c r="A13" s="14">
        <v>5</v>
      </c>
      <c r="B13" s="15" t="s">
        <v>206</v>
      </c>
      <c r="C13" s="7"/>
      <c r="D13" s="7"/>
      <c r="E13" s="12">
        <v>5</v>
      </c>
      <c r="F13" s="13" t="s">
        <v>207</v>
      </c>
      <c r="G13" s="7"/>
    </row>
    <row r="14" spans="1:7" ht="60" customHeight="1" x14ac:dyDescent="0.3">
      <c r="A14" s="7"/>
      <c r="B14" s="7"/>
      <c r="C14" s="7"/>
      <c r="D14" s="7"/>
      <c r="E14" s="12">
        <v>6</v>
      </c>
      <c r="F14" s="13" t="s">
        <v>208</v>
      </c>
      <c r="G14" s="7"/>
    </row>
    <row r="15" spans="1:7" ht="45" customHeight="1" x14ac:dyDescent="0.3">
      <c r="A15" s="7"/>
      <c r="B15" s="7"/>
      <c r="C15" s="7"/>
      <c r="D15" s="7"/>
      <c r="E15" s="12">
        <v>7</v>
      </c>
      <c r="F15" s="13" t="s">
        <v>209</v>
      </c>
      <c r="G15" s="7"/>
    </row>
    <row r="16" spans="1:7" ht="30.75" customHeight="1" x14ac:dyDescent="0.25">
      <c r="A16" s="146" t="s">
        <v>210</v>
      </c>
      <c r="B16" s="147"/>
      <c r="C16" s="147"/>
      <c r="D16" s="147"/>
      <c r="E16" s="147"/>
      <c r="F16" s="147"/>
      <c r="G16" s="148"/>
    </row>
    <row r="17" spans="1:7" ht="15" x14ac:dyDescent="0.3">
      <c r="A17" s="16" t="s">
        <v>211</v>
      </c>
      <c r="B17" s="17">
        <f>COUNTIF($A$22:$A$1000,"PIM-AE-*")</f>
        <v>25</v>
      </c>
      <c r="C17" s="18"/>
      <c r="D17" s="19" t="s">
        <v>194</v>
      </c>
      <c r="E17" s="17">
        <f>COUNTIF($G$22:$G$1000,"Pass")</f>
        <v>25</v>
      </c>
      <c r="F17" s="19" t="s">
        <v>212</v>
      </c>
      <c r="G17" s="34">
        <f>COUNTIF($G$22:$G$1000,"Fail")</f>
        <v>0</v>
      </c>
    </row>
    <row r="18" spans="1:7" ht="15" x14ac:dyDescent="0.3">
      <c r="A18" s="20" t="s">
        <v>213</v>
      </c>
      <c r="B18" s="21">
        <f>COUNTIF($G$22:$G$1000,"Not executed")</f>
        <v>0</v>
      </c>
      <c r="C18" s="22"/>
      <c r="D18" s="23" t="s">
        <v>214</v>
      </c>
      <c r="E18" s="21">
        <f>COUNTIF($G$22:$G$1000,"Suspended")</f>
        <v>0</v>
      </c>
      <c r="F18" s="23" t="s">
        <v>215</v>
      </c>
      <c r="G18" s="35">
        <f>IF($B$17=0,0,$E$17/$B$17)</f>
        <v>1</v>
      </c>
    </row>
    <row r="19" spans="1:7" ht="15.75" customHeight="1" x14ac:dyDescent="0.3">
      <c r="A19" s="24" t="s">
        <v>216</v>
      </c>
      <c r="B19" s="25">
        <f>$B$17-$B$18</f>
        <v>25</v>
      </c>
      <c r="C19" s="26"/>
      <c r="D19" s="27" t="s">
        <v>217</v>
      </c>
      <c r="E19" s="36">
        <f>IF($B$17=0,0,$B$19/$B$17)</f>
        <v>1</v>
      </c>
      <c r="F19" s="27" t="s">
        <v>218</v>
      </c>
      <c r="G19" s="37" t="s">
        <v>219</v>
      </c>
    </row>
    <row r="20" spans="1:7" ht="30" customHeight="1" x14ac:dyDescent="0.25">
      <c r="A20" s="28" t="s">
        <v>174</v>
      </c>
      <c r="B20" s="29" t="s">
        <v>220</v>
      </c>
      <c r="C20" s="29" t="s">
        <v>221</v>
      </c>
      <c r="D20" s="29" t="s">
        <v>222</v>
      </c>
      <c r="E20" s="29" t="s">
        <v>5</v>
      </c>
      <c r="F20" s="29" t="s">
        <v>223</v>
      </c>
      <c r="G20" s="38" t="s">
        <v>224</v>
      </c>
    </row>
    <row r="21" spans="1:7" x14ac:dyDescent="0.25">
      <c r="A21" s="149" t="s">
        <v>225</v>
      </c>
      <c r="B21" s="150"/>
      <c r="C21" s="150"/>
      <c r="D21" s="150"/>
      <c r="E21" s="150"/>
      <c r="F21" s="150"/>
      <c r="G21" s="151"/>
    </row>
    <row r="22" spans="1:7" ht="91.5" customHeight="1" x14ac:dyDescent="0.25">
      <c r="A22" s="30" t="s">
        <v>226</v>
      </c>
      <c r="B22" s="31" t="s">
        <v>227</v>
      </c>
      <c r="C22" s="31" t="s">
        <v>228</v>
      </c>
      <c r="D22" s="31" t="s">
        <v>229</v>
      </c>
      <c r="E22" s="31" t="s">
        <v>230</v>
      </c>
      <c r="F22" s="31" t="s">
        <v>231</v>
      </c>
      <c r="G22" s="39" t="s">
        <v>194</v>
      </c>
    </row>
    <row r="23" spans="1:7" ht="91.5" customHeight="1" x14ac:dyDescent="0.25">
      <c r="A23" s="30" t="s">
        <v>40</v>
      </c>
      <c r="B23" s="31" t="s">
        <v>232</v>
      </c>
      <c r="C23" s="31" t="s">
        <v>233</v>
      </c>
      <c r="D23" s="31" t="s">
        <v>234</v>
      </c>
      <c r="E23" s="31" t="s">
        <v>235</v>
      </c>
      <c r="F23" s="31" t="s">
        <v>236</v>
      </c>
      <c r="G23" s="39" t="s">
        <v>194</v>
      </c>
    </row>
    <row r="24" spans="1:7" ht="91.5" customHeight="1" x14ac:dyDescent="0.25">
      <c r="A24" s="30" t="s">
        <v>13</v>
      </c>
      <c r="B24" s="31" t="s">
        <v>237</v>
      </c>
      <c r="C24" s="31" t="s">
        <v>238</v>
      </c>
      <c r="D24" s="31" t="s">
        <v>239</v>
      </c>
      <c r="E24" s="31" t="s">
        <v>240</v>
      </c>
      <c r="F24" s="31" t="s">
        <v>241</v>
      </c>
      <c r="G24" s="39" t="s">
        <v>194</v>
      </c>
    </row>
    <row r="25" spans="1:7" ht="91.5" customHeight="1" x14ac:dyDescent="0.25">
      <c r="A25" s="30" t="s">
        <v>27</v>
      </c>
      <c r="B25" s="31" t="s">
        <v>242</v>
      </c>
      <c r="C25" s="31" t="s">
        <v>243</v>
      </c>
      <c r="D25" s="31" t="s">
        <v>244</v>
      </c>
      <c r="E25" s="31" t="s">
        <v>245</v>
      </c>
      <c r="F25" s="31" t="s">
        <v>246</v>
      </c>
      <c r="G25" s="39" t="s">
        <v>194</v>
      </c>
    </row>
    <row r="26" spans="1:7" ht="91.5" customHeight="1" x14ac:dyDescent="0.25">
      <c r="A26" s="30" t="s">
        <v>130</v>
      </c>
      <c r="B26" s="31" t="s">
        <v>247</v>
      </c>
      <c r="C26" s="31" t="s">
        <v>248</v>
      </c>
      <c r="D26" s="31" t="s">
        <v>249</v>
      </c>
      <c r="E26" s="31" t="s">
        <v>250</v>
      </c>
      <c r="F26" s="31" t="s">
        <v>251</v>
      </c>
      <c r="G26" s="39" t="s">
        <v>194</v>
      </c>
    </row>
    <row r="27" spans="1:7" ht="91.5" customHeight="1" x14ac:dyDescent="0.25">
      <c r="A27" s="30" t="s">
        <v>19</v>
      </c>
      <c r="B27" s="31" t="s">
        <v>252</v>
      </c>
      <c r="C27" s="31" t="s">
        <v>253</v>
      </c>
      <c r="D27" s="31" t="s">
        <v>254</v>
      </c>
      <c r="E27" s="31" t="s">
        <v>255</v>
      </c>
      <c r="F27" s="31" t="s">
        <v>256</v>
      </c>
      <c r="G27" s="39" t="s">
        <v>194</v>
      </c>
    </row>
    <row r="28" spans="1:7" ht="91.5" customHeight="1" x14ac:dyDescent="0.25">
      <c r="A28" s="30" t="s">
        <v>24</v>
      </c>
      <c r="B28" s="31" t="s">
        <v>257</v>
      </c>
      <c r="C28" s="31" t="s">
        <v>258</v>
      </c>
      <c r="D28" s="31" t="s">
        <v>259</v>
      </c>
      <c r="E28" s="31" t="s">
        <v>260</v>
      </c>
      <c r="F28" s="31" t="s">
        <v>261</v>
      </c>
      <c r="G28" s="39" t="s">
        <v>194</v>
      </c>
    </row>
    <row r="29" spans="1:7" ht="91.5" customHeight="1" x14ac:dyDescent="0.25">
      <c r="A29" s="30" t="s">
        <v>30</v>
      </c>
      <c r="B29" s="31" t="s">
        <v>262</v>
      </c>
      <c r="C29" s="31" t="s">
        <v>263</v>
      </c>
      <c r="D29" s="31" t="s">
        <v>264</v>
      </c>
      <c r="E29" s="31" t="s">
        <v>265</v>
      </c>
      <c r="F29" s="31" t="s">
        <v>266</v>
      </c>
      <c r="G29" s="39" t="s">
        <v>194</v>
      </c>
    </row>
    <row r="30" spans="1:7" ht="91.5" customHeight="1" x14ac:dyDescent="0.25">
      <c r="A30" s="30" t="s">
        <v>33</v>
      </c>
      <c r="B30" s="31" t="s">
        <v>267</v>
      </c>
      <c r="C30" s="31" t="s">
        <v>268</v>
      </c>
      <c r="D30" s="31" t="s">
        <v>269</v>
      </c>
      <c r="E30" s="31" t="s">
        <v>260</v>
      </c>
      <c r="F30" s="31" t="s">
        <v>261</v>
      </c>
      <c r="G30" s="39" t="s">
        <v>194</v>
      </c>
    </row>
    <row r="31" spans="1:7" ht="91.5" customHeight="1" x14ac:dyDescent="0.25">
      <c r="A31" s="30" t="s">
        <v>37</v>
      </c>
      <c r="B31" s="31" t="s">
        <v>270</v>
      </c>
      <c r="C31" s="31" t="s">
        <v>271</v>
      </c>
      <c r="D31" s="31" t="s">
        <v>272</v>
      </c>
      <c r="E31" s="31" t="s">
        <v>273</v>
      </c>
      <c r="F31" s="31" t="s">
        <v>274</v>
      </c>
      <c r="G31" s="39" t="s">
        <v>194</v>
      </c>
    </row>
    <row r="32" spans="1:7" ht="91.5" customHeight="1" x14ac:dyDescent="0.25">
      <c r="A32" s="30" t="s">
        <v>43</v>
      </c>
      <c r="B32" s="31" t="s">
        <v>275</v>
      </c>
      <c r="C32" s="31" t="s">
        <v>276</v>
      </c>
      <c r="D32" s="31" t="s">
        <v>277</v>
      </c>
      <c r="E32" s="31" t="s">
        <v>260</v>
      </c>
      <c r="F32" s="31" t="s">
        <v>261</v>
      </c>
      <c r="G32" s="39" t="s">
        <v>194</v>
      </c>
    </row>
    <row r="33" spans="1:7" ht="91.5" customHeight="1" x14ac:dyDescent="0.25">
      <c r="A33" s="30" t="s">
        <v>51</v>
      </c>
      <c r="B33" s="31" t="s">
        <v>278</v>
      </c>
      <c r="C33" s="31" t="s">
        <v>279</v>
      </c>
      <c r="D33" s="31" t="s">
        <v>280</v>
      </c>
      <c r="E33" s="31" t="s">
        <v>281</v>
      </c>
      <c r="F33" s="31" t="s">
        <v>282</v>
      </c>
      <c r="G33" s="39" t="s">
        <v>194</v>
      </c>
    </row>
    <row r="34" spans="1:7" ht="91.5" customHeight="1" x14ac:dyDescent="0.25">
      <c r="A34" s="30" t="s">
        <v>55</v>
      </c>
      <c r="B34" s="31" t="s">
        <v>283</v>
      </c>
      <c r="C34" s="31" t="s">
        <v>284</v>
      </c>
      <c r="D34" s="31" t="s">
        <v>285</v>
      </c>
      <c r="E34" s="31" t="s">
        <v>286</v>
      </c>
      <c r="F34" s="31" t="s">
        <v>287</v>
      </c>
      <c r="G34" s="39" t="s">
        <v>194</v>
      </c>
    </row>
    <row r="35" spans="1:7" ht="91.5" customHeight="1" x14ac:dyDescent="0.25">
      <c r="A35" s="30" t="s">
        <v>60</v>
      </c>
      <c r="B35" s="31" t="s">
        <v>288</v>
      </c>
      <c r="C35" s="31" t="s">
        <v>289</v>
      </c>
      <c r="D35" s="31" t="s">
        <v>290</v>
      </c>
      <c r="E35" s="31" t="s">
        <v>291</v>
      </c>
      <c r="F35" s="31" t="s">
        <v>292</v>
      </c>
      <c r="G35" s="39" t="s">
        <v>194</v>
      </c>
    </row>
    <row r="36" spans="1:7" ht="91.5" customHeight="1" x14ac:dyDescent="0.25">
      <c r="A36" s="30" t="s">
        <v>69</v>
      </c>
      <c r="B36" s="31" t="s">
        <v>293</v>
      </c>
      <c r="C36" s="31" t="s">
        <v>294</v>
      </c>
      <c r="D36" s="31" t="s">
        <v>295</v>
      </c>
      <c r="E36" s="31" t="s">
        <v>296</v>
      </c>
      <c r="F36" s="31" t="s">
        <v>297</v>
      </c>
      <c r="G36" s="39" t="s">
        <v>194</v>
      </c>
    </row>
    <row r="37" spans="1:7" ht="91.5" customHeight="1" x14ac:dyDescent="0.25">
      <c r="A37" s="30" t="s">
        <v>74</v>
      </c>
      <c r="B37" s="31" t="s">
        <v>298</v>
      </c>
      <c r="C37" s="31" t="s">
        <v>299</v>
      </c>
      <c r="D37" s="31" t="s">
        <v>300</v>
      </c>
      <c r="E37" s="31" t="s">
        <v>301</v>
      </c>
      <c r="F37" s="31" t="s">
        <v>302</v>
      </c>
      <c r="G37" s="39" t="s">
        <v>194</v>
      </c>
    </row>
    <row r="38" spans="1:7" ht="91.5" customHeight="1" x14ac:dyDescent="0.25">
      <c r="A38" s="30" t="s">
        <v>79</v>
      </c>
      <c r="B38" s="31" t="s">
        <v>303</v>
      </c>
      <c r="C38" s="31" t="s">
        <v>304</v>
      </c>
      <c r="D38" s="31" t="s">
        <v>305</v>
      </c>
      <c r="E38" s="31" t="s">
        <v>306</v>
      </c>
      <c r="F38" s="31" t="s">
        <v>307</v>
      </c>
      <c r="G38" s="39" t="s">
        <v>194</v>
      </c>
    </row>
    <row r="39" spans="1:7" ht="91.5" customHeight="1" x14ac:dyDescent="0.25">
      <c r="A39" s="30" t="s">
        <v>98</v>
      </c>
      <c r="B39" s="31" t="s">
        <v>308</v>
      </c>
      <c r="C39" s="31" t="s">
        <v>412</v>
      </c>
      <c r="D39" s="31" t="s">
        <v>309</v>
      </c>
      <c r="E39" s="31" t="s">
        <v>310</v>
      </c>
      <c r="F39" s="31" t="s">
        <v>311</v>
      </c>
      <c r="G39" s="39" t="s">
        <v>194</v>
      </c>
    </row>
    <row r="40" spans="1:7" ht="91.5" customHeight="1" x14ac:dyDescent="0.25">
      <c r="A40" s="30" t="s">
        <v>176</v>
      </c>
      <c r="B40" s="31" t="s">
        <v>312</v>
      </c>
      <c r="C40" s="31" t="s">
        <v>313</v>
      </c>
      <c r="D40" s="31" t="s">
        <v>314</v>
      </c>
      <c r="E40" s="31" t="s">
        <v>315</v>
      </c>
      <c r="F40" s="31" t="s">
        <v>316</v>
      </c>
      <c r="G40" s="39" t="s">
        <v>194</v>
      </c>
    </row>
    <row r="41" spans="1:7" ht="91.5" customHeight="1" x14ac:dyDescent="0.25">
      <c r="A41" s="30" t="s">
        <v>88</v>
      </c>
      <c r="B41" s="31" t="s">
        <v>317</v>
      </c>
      <c r="C41" s="31" t="s">
        <v>318</v>
      </c>
      <c r="D41" s="31" t="s">
        <v>319</v>
      </c>
      <c r="E41" s="31" t="s">
        <v>320</v>
      </c>
      <c r="F41" s="31" t="s">
        <v>321</v>
      </c>
      <c r="G41" s="39" t="s">
        <v>194</v>
      </c>
    </row>
    <row r="42" spans="1:7" ht="91.5" customHeight="1" x14ac:dyDescent="0.25">
      <c r="A42" s="30" t="s">
        <v>93</v>
      </c>
      <c r="B42" s="31" t="s">
        <v>322</v>
      </c>
      <c r="C42" s="31" t="s">
        <v>323</v>
      </c>
      <c r="D42" s="31" t="s">
        <v>324</v>
      </c>
      <c r="E42" s="31" t="s">
        <v>325</v>
      </c>
      <c r="F42" s="31" t="s">
        <v>326</v>
      </c>
      <c r="G42" s="39" t="s">
        <v>194</v>
      </c>
    </row>
    <row r="43" spans="1:7" ht="91.5" customHeight="1" x14ac:dyDescent="0.25">
      <c r="A43" s="30" t="s">
        <v>103</v>
      </c>
      <c r="B43" s="31" t="s">
        <v>327</v>
      </c>
      <c r="C43" s="31" t="s">
        <v>328</v>
      </c>
      <c r="D43" s="31" t="s">
        <v>329</v>
      </c>
      <c r="E43" s="31" t="s">
        <v>330</v>
      </c>
      <c r="F43" s="31" t="s">
        <v>331</v>
      </c>
      <c r="G43" s="39" t="s">
        <v>194</v>
      </c>
    </row>
    <row r="44" spans="1:7" ht="91.5" customHeight="1" x14ac:dyDescent="0.25">
      <c r="A44" s="30" t="s">
        <v>109</v>
      </c>
      <c r="B44" s="31" t="s">
        <v>413</v>
      </c>
      <c r="C44" s="31" t="s">
        <v>414</v>
      </c>
      <c r="D44" s="31" t="s">
        <v>332</v>
      </c>
      <c r="E44" s="31" t="s">
        <v>415</v>
      </c>
      <c r="F44" s="31" t="s">
        <v>416</v>
      </c>
      <c r="G44" s="39" t="s">
        <v>194</v>
      </c>
    </row>
    <row r="45" spans="1:7" ht="91.5" customHeight="1" x14ac:dyDescent="0.25">
      <c r="A45" s="30" t="s">
        <v>117</v>
      </c>
      <c r="B45" s="31" t="s">
        <v>333</v>
      </c>
      <c r="C45" s="31" t="s">
        <v>334</v>
      </c>
      <c r="D45" s="31" t="s">
        <v>335</v>
      </c>
      <c r="E45" s="31" t="s">
        <v>336</v>
      </c>
      <c r="F45" s="31" t="s">
        <v>337</v>
      </c>
      <c r="G45" s="39" t="s">
        <v>194</v>
      </c>
    </row>
    <row r="46" spans="1:7" ht="91.5" customHeight="1" x14ac:dyDescent="0.25">
      <c r="A46" s="30" t="s">
        <v>124</v>
      </c>
      <c r="B46" s="31" t="s">
        <v>338</v>
      </c>
      <c r="C46" s="31" t="s">
        <v>339</v>
      </c>
      <c r="D46" s="31" t="s">
        <v>340</v>
      </c>
      <c r="E46" s="31" t="s">
        <v>341</v>
      </c>
      <c r="F46" s="31" t="s">
        <v>342</v>
      </c>
      <c r="G46" s="39" t="s">
        <v>194</v>
      </c>
    </row>
    <row r="47" spans="1:7" x14ac:dyDescent="0.25">
      <c r="A47" s="149" t="s">
        <v>343</v>
      </c>
      <c r="B47" s="150"/>
      <c r="C47" s="150"/>
      <c r="D47" s="150"/>
      <c r="E47" s="150"/>
      <c r="F47" s="150"/>
      <c r="G47" s="151"/>
    </row>
    <row r="48" spans="1:7" ht="165" customHeight="1" x14ac:dyDescent="0.25"/>
    <row r="49" ht="75" customHeight="1" x14ac:dyDescent="0.25"/>
    <row r="50" ht="60" customHeight="1" x14ac:dyDescent="0.25"/>
    <row r="51" ht="75" customHeight="1" x14ac:dyDescent="0.25"/>
    <row r="52" ht="75" customHeight="1" x14ac:dyDescent="0.25"/>
    <row r="53" ht="75" customHeight="1" x14ac:dyDescent="0.25"/>
    <row r="54" ht="75" customHeight="1" x14ac:dyDescent="0.25"/>
    <row r="55" ht="90" customHeight="1" x14ac:dyDescent="0.25"/>
    <row r="56" ht="30" customHeight="1" x14ac:dyDescent="0.25"/>
    <row r="57" ht="90" customHeight="1" x14ac:dyDescent="0.25"/>
    <row r="58" ht="60" customHeight="1" x14ac:dyDescent="0.25"/>
    <row r="59" ht="75" customHeight="1" x14ac:dyDescent="0.25"/>
    <row r="60" ht="75" customHeight="1" x14ac:dyDescent="0.25"/>
    <row r="61" ht="75" customHeight="1" x14ac:dyDescent="0.25"/>
    <row r="62" ht="75" customHeight="1" x14ac:dyDescent="0.25"/>
    <row r="63" ht="24.75" customHeight="1" x14ac:dyDescent="0.25"/>
    <row r="64" ht="120" customHeight="1" x14ac:dyDescent="0.25"/>
    <row r="65" ht="165" customHeight="1" x14ac:dyDescent="0.25"/>
    <row r="66" ht="165" customHeight="1" x14ac:dyDescent="0.25"/>
    <row r="67" ht="60" customHeight="1" x14ac:dyDescent="0.25"/>
    <row r="68" ht="60" customHeight="1" x14ac:dyDescent="0.25"/>
    <row r="69" ht="105" customHeight="1" x14ac:dyDescent="0.25"/>
    <row r="70" ht="105" customHeight="1" x14ac:dyDescent="0.25"/>
    <row r="71" ht="90" customHeight="1" x14ac:dyDescent="0.25"/>
    <row r="72" ht="75" customHeight="1" x14ac:dyDescent="0.25"/>
    <row r="73" ht="90" customHeight="1" x14ac:dyDescent="0.25"/>
    <row r="74" ht="75" customHeight="1" x14ac:dyDescent="0.25"/>
    <row r="75" ht="45" customHeight="1" x14ac:dyDescent="0.25"/>
    <row r="76" ht="90" customHeight="1" x14ac:dyDescent="0.25"/>
    <row r="77" ht="30" customHeight="1" x14ac:dyDescent="0.25"/>
    <row r="78" ht="45" customHeight="1" x14ac:dyDescent="0.25"/>
    <row r="79" ht="45" customHeight="1" x14ac:dyDescent="0.25"/>
    <row r="80" ht="45" customHeight="1" x14ac:dyDescent="0.25"/>
    <row r="81" ht="60" customHeight="1" x14ac:dyDescent="0.25"/>
    <row r="82" ht="79.5" customHeight="1" x14ac:dyDescent="0.25"/>
    <row r="83" ht="30" customHeight="1" x14ac:dyDescent="0.25"/>
    <row r="84" ht="105" customHeight="1" x14ac:dyDescent="0.25"/>
    <row r="85" ht="75" customHeight="1" x14ac:dyDescent="0.25"/>
    <row r="86" ht="75" customHeight="1" x14ac:dyDescent="0.25"/>
    <row r="87" ht="90" customHeight="1" x14ac:dyDescent="0.25"/>
    <row r="88" ht="90" customHeight="1" x14ac:dyDescent="0.25"/>
    <row r="89" ht="60" customHeight="1" x14ac:dyDescent="0.25"/>
    <row r="90" ht="75" customHeight="1" x14ac:dyDescent="0.25"/>
    <row r="91" ht="60" customHeight="1" x14ac:dyDescent="0.25"/>
    <row r="92" ht="60" customHeight="1" x14ac:dyDescent="0.25"/>
    <row r="93" ht="30" customHeight="1" x14ac:dyDescent="0.25"/>
    <row r="94" ht="60" customHeight="1" x14ac:dyDescent="0.25"/>
    <row r="95" ht="60" customHeight="1" x14ac:dyDescent="0.25"/>
    <row r="96" ht="60" customHeight="1" x14ac:dyDescent="0.25"/>
    <row r="97" ht="45" customHeight="1" x14ac:dyDescent="0.25"/>
    <row r="98" ht="30" customHeight="1" x14ac:dyDescent="0.25"/>
    <row r="99" ht="30" customHeight="1" x14ac:dyDescent="0.25"/>
    <row r="100" ht="30" customHeight="1" x14ac:dyDescent="0.25"/>
    <row r="101" ht="105" customHeight="1" x14ac:dyDescent="0.25"/>
    <row r="102" ht="45" customHeight="1" x14ac:dyDescent="0.25"/>
    <row r="103" ht="45" customHeight="1" x14ac:dyDescent="0.25"/>
    <row r="104" ht="45" customHeight="1" x14ac:dyDescent="0.25"/>
    <row r="105" ht="60" customHeight="1" x14ac:dyDescent="0.25"/>
    <row r="106" ht="75" customHeight="1" x14ac:dyDescent="0.25"/>
    <row r="107" ht="90" customHeight="1" x14ac:dyDescent="0.25"/>
    <row r="108" ht="60" customHeight="1" x14ac:dyDescent="0.25"/>
    <row r="109" ht="45" customHeight="1" x14ac:dyDescent="0.25"/>
    <row r="110" ht="60" customHeight="1" x14ac:dyDescent="0.25"/>
    <row r="111" ht="45" customHeight="1" x14ac:dyDescent="0.25"/>
    <row r="112" ht="30" customHeight="1" x14ac:dyDescent="0.25"/>
    <row r="113" ht="30" customHeight="1" x14ac:dyDescent="0.25"/>
    <row r="114" ht="45" customHeight="1" x14ac:dyDescent="0.25"/>
    <row r="115" ht="60" customHeight="1" x14ac:dyDescent="0.25"/>
    <row r="116" ht="30" customHeight="1" x14ac:dyDescent="0.25"/>
    <row r="117" ht="30" customHeight="1" x14ac:dyDescent="0.25"/>
    <row r="118" ht="60" customHeight="1" x14ac:dyDescent="0.25"/>
    <row r="119" ht="45" customHeight="1" x14ac:dyDescent="0.25"/>
    <row r="120" ht="45" customHeight="1" x14ac:dyDescent="0.25"/>
    <row r="121" ht="75" customHeight="1" x14ac:dyDescent="0.25"/>
    <row r="122" ht="45" customHeight="1" x14ac:dyDescent="0.25"/>
    <row r="123" ht="60" customHeight="1" x14ac:dyDescent="0.25"/>
    <row r="124" ht="45" customHeight="1" x14ac:dyDescent="0.25"/>
    <row r="125" ht="45" customHeight="1" x14ac:dyDescent="0.25"/>
    <row r="126" ht="60" customHeight="1" x14ac:dyDescent="0.25"/>
    <row r="127" ht="45" customHeight="1" x14ac:dyDescent="0.25"/>
    <row r="128" ht="30" customHeight="1" x14ac:dyDescent="0.25"/>
    <row r="129" ht="30" customHeight="1" x14ac:dyDescent="0.25"/>
    <row r="130" ht="105" customHeight="1" x14ac:dyDescent="0.25"/>
    <row r="131" ht="45" customHeight="1" x14ac:dyDescent="0.25"/>
    <row r="132" ht="75" customHeight="1" x14ac:dyDescent="0.25"/>
    <row r="133" ht="60" customHeight="1" x14ac:dyDescent="0.25"/>
    <row r="134" ht="75" customHeight="1" x14ac:dyDescent="0.25"/>
    <row r="135" ht="75" customHeight="1" x14ac:dyDescent="0.25"/>
    <row r="136" ht="75" customHeight="1" x14ac:dyDescent="0.25"/>
    <row r="137" ht="60" customHeight="1" x14ac:dyDescent="0.25"/>
    <row r="138" ht="60" customHeight="1" x14ac:dyDescent="0.25"/>
    <row r="139" ht="45" customHeight="1" x14ac:dyDescent="0.25"/>
    <row r="140" ht="30" customHeight="1" x14ac:dyDescent="0.25"/>
    <row r="141" ht="30" customHeight="1" x14ac:dyDescent="0.25"/>
    <row r="142" ht="90" customHeight="1" x14ac:dyDescent="0.25"/>
    <row r="143" ht="45" customHeight="1" x14ac:dyDescent="0.25"/>
    <row r="144" ht="75" customHeight="1" x14ac:dyDescent="0.25"/>
    <row r="145" ht="60" customHeight="1" x14ac:dyDescent="0.25"/>
    <row r="146" ht="45" customHeight="1" x14ac:dyDescent="0.25"/>
    <row r="147" ht="60" customHeight="1" x14ac:dyDescent="0.25"/>
    <row r="148" ht="45" customHeight="1" x14ac:dyDescent="0.25"/>
    <row r="149" ht="45" customHeight="1" x14ac:dyDescent="0.25"/>
    <row r="150" ht="45" customHeight="1" x14ac:dyDescent="0.25"/>
    <row r="151" ht="30" customHeight="1" x14ac:dyDescent="0.25"/>
    <row r="152" ht="30" customHeight="1" x14ac:dyDescent="0.25"/>
    <row r="153" ht="60" customHeight="1" x14ac:dyDescent="0.25"/>
    <row r="154" ht="45" customHeight="1" x14ac:dyDescent="0.25"/>
    <row r="155" ht="60" customHeight="1" x14ac:dyDescent="0.25"/>
    <row r="156" ht="45" customHeight="1" x14ac:dyDescent="0.25"/>
    <row r="157" ht="30" customHeight="1" x14ac:dyDescent="0.25"/>
    <row r="158" ht="30" customHeight="1" x14ac:dyDescent="0.25"/>
    <row r="159" ht="30" customHeight="1" x14ac:dyDescent="0.25"/>
    <row r="160" ht="45" customHeight="1" x14ac:dyDescent="0.25"/>
    <row r="161" ht="45" customHeight="1" x14ac:dyDescent="0.25"/>
    <row r="162" ht="45" customHeight="1" x14ac:dyDescent="0.25"/>
    <row r="163" ht="45" customHeight="1" x14ac:dyDescent="0.25"/>
    <row r="164" ht="45" customHeight="1" x14ac:dyDescent="0.25"/>
    <row r="165" ht="30" customHeight="1" x14ac:dyDescent="0.25"/>
    <row r="166" ht="30" customHeight="1" x14ac:dyDescent="0.25"/>
    <row r="167" ht="75" customHeight="1" x14ac:dyDescent="0.25"/>
    <row r="168" ht="75" customHeight="1" x14ac:dyDescent="0.25"/>
    <row r="169" ht="90" customHeight="1" x14ac:dyDescent="0.25"/>
    <row r="170" ht="75" customHeight="1" x14ac:dyDescent="0.25"/>
    <row r="171" ht="60" customHeight="1" x14ac:dyDescent="0.25"/>
    <row r="172" ht="75" customHeight="1" x14ac:dyDescent="0.25"/>
    <row r="173" ht="45" customHeight="1" x14ac:dyDescent="0.25"/>
    <row r="174" ht="60" customHeight="1" x14ac:dyDescent="0.25"/>
    <row r="175" ht="45" customHeight="1" x14ac:dyDescent="0.25"/>
    <row r="176" ht="45" customHeight="1" x14ac:dyDescent="0.25"/>
    <row r="177" ht="45" customHeight="1" x14ac:dyDescent="0.25"/>
    <row r="178" ht="30" customHeight="1" x14ac:dyDescent="0.25"/>
    <row r="179" ht="30" customHeight="1" x14ac:dyDescent="0.25"/>
    <row r="180" ht="45" customHeight="1" x14ac:dyDescent="0.25"/>
    <row r="181" ht="45" customHeight="1" x14ac:dyDescent="0.25"/>
    <row r="182" ht="45" customHeight="1" x14ac:dyDescent="0.25"/>
    <row r="183" ht="45" customHeight="1" x14ac:dyDescent="0.25"/>
    <row r="184" ht="60" customHeight="1" x14ac:dyDescent="0.25"/>
    <row r="185" ht="75" customHeight="1" x14ac:dyDescent="0.25"/>
    <row r="186" ht="60.75" customHeight="1" x14ac:dyDescent="0.25"/>
  </sheetData>
  <mergeCells count="3">
    <mergeCell ref="A16:G16"/>
    <mergeCell ref="A21:G21"/>
    <mergeCell ref="A47:G47"/>
  </mergeCells>
  <hyperlinks>
    <hyperlink ref="B9" r:id="rId1" xr:uid="{00000000-0004-0000-0300-000000000000}"/>
    <hyperlink ref="F14" r:id="rId2" xr:uid="{00000000-0004-0000-03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EP (Phân vùng tương đương)</vt:lpstr>
      <vt:lpstr>BVA</vt:lpstr>
      <vt:lpstr>Decision Table</vt:lpstr>
      <vt:lpstr>DecisionTable</vt:lpstr>
      <vt:lpstr>TestCase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Đào Thị Thu</dc:creator>
  <cp:lastModifiedBy>Huyền Đào Thị Thu</cp:lastModifiedBy>
  <dcterms:created xsi:type="dcterms:W3CDTF">2026-01-27T23:28:00Z</dcterms:created>
  <dcterms:modified xsi:type="dcterms:W3CDTF">2026-03-18T14:11:24Z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C53D183B9D56CC6B6A67AE69E7CE2D06_43</vt:lpwstr>
  </property>
  <property fmtid="{D5CDD505-2E9C-101B-9397-08002B2CF9AE}" pid="3" name="KSOProductBuildVer">
    <vt:lpwstr>1033-12.1.23135.23135</vt:lpwstr>
  </property>
</Properties>
</file>